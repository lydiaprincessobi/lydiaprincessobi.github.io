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lydia\Downloads\"/>
    </mc:Choice>
  </mc:AlternateContent>
  <xr:revisionPtr revIDLastSave="0" documentId="13_ncr:1_{492F454C-8A8C-4781-83FB-2F6A1BEBC096}" xr6:coauthVersionLast="47" xr6:coauthVersionMax="47" xr10:uidLastSave="{00000000-0000-0000-0000-000000000000}"/>
  <bookViews>
    <workbookView xWindow="-108" yWindow="-108" windowWidth="23256" windowHeight="13896" xr2:uid="{00000000-000D-0000-FFFF-FFFF00000000}"/>
  </bookViews>
  <sheets>
    <sheet name="Groceries Budget" sheetId="1" r:id="rId1"/>
    <sheet name="Tuition Budget"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2" l="1"/>
  <c r="A19" i="2"/>
  <c r="A18" i="2"/>
  <c r="P17" i="2"/>
  <c r="A17" i="2"/>
  <c r="P16" i="2"/>
  <c r="M16" i="2"/>
  <c r="J16" i="2"/>
  <c r="D16" i="2"/>
  <c r="A16" i="2"/>
  <c r="P15" i="2"/>
  <c r="M15" i="2"/>
  <c r="J15" i="2"/>
  <c r="P14" i="2"/>
  <c r="M14" i="2"/>
  <c r="M17" i="2" s="1"/>
  <c r="J14" i="2"/>
  <c r="J17" i="2" s="1"/>
  <c r="D14" i="2"/>
  <c r="G10" i="2"/>
  <c r="G9" i="2"/>
  <c r="G8" i="2"/>
  <c r="G11" i="2" s="1"/>
  <c r="A143" i="1"/>
  <c r="A142" i="1"/>
  <c r="A141" i="1"/>
  <c r="A140" i="1"/>
  <c r="A139" i="1"/>
  <c r="A138" i="1"/>
  <c r="A137" i="1"/>
  <c r="A136" i="1"/>
  <c r="A135" i="1"/>
  <c r="A134" i="1"/>
  <c r="A133" i="1"/>
  <c r="A132" i="1"/>
  <c r="A131" i="1"/>
  <c r="A130" i="1"/>
  <c r="A125" i="1"/>
  <c r="A124" i="1"/>
  <c r="A123" i="1"/>
  <c r="A122" i="1"/>
  <c r="A121" i="1"/>
  <c r="A120" i="1"/>
  <c r="A119" i="1"/>
  <c r="A118" i="1"/>
  <c r="A117" i="1"/>
  <c r="A116" i="1"/>
  <c r="A115" i="1"/>
  <c r="A114" i="1"/>
  <c r="A113" i="1"/>
  <c r="A112" i="1"/>
  <c r="A107" i="1"/>
  <c r="A106" i="1"/>
  <c r="A105" i="1"/>
  <c r="A104" i="1"/>
  <c r="A103" i="1"/>
  <c r="A102" i="1"/>
  <c r="A101" i="1"/>
  <c r="A100" i="1"/>
  <c r="A99" i="1"/>
  <c r="A98" i="1"/>
  <c r="A97" i="1"/>
  <c r="A96" i="1"/>
  <c r="A95" i="1"/>
  <c r="A94" i="1"/>
  <c r="A89" i="1"/>
  <c r="A88" i="1"/>
  <c r="A87" i="1"/>
  <c r="A86" i="1"/>
  <c r="A85" i="1"/>
  <c r="A84" i="1"/>
  <c r="A83" i="1"/>
  <c r="A82" i="1"/>
  <c r="A81" i="1"/>
  <c r="A80" i="1"/>
  <c r="A79" i="1"/>
  <c r="A78" i="1"/>
  <c r="A77" i="1"/>
  <c r="A76" i="1"/>
  <c r="A71" i="1"/>
  <c r="A70" i="1"/>
  <c r="A69" i="1"/>
  <c r="A68" i="1"/>
  <c r="A67" i="1"/>
  <c r="A66" i="1"/>
  <c r="A65" i="1"/>
  <c r="A64" i="1"/>
  <c r="A63" i="1"/>
  <c r="A62" i="1"/>
  <c r="A61" i="1"/>
  <c r="A60" i="1"/>
  <c r="A59" i="1"/>
  <c r="A58" i="1"/>
  <c r="A53" i="1"/>
  <c r="A52" i="1"/>
  <c r="A51" i="1"/>
  <c r="A50" i="1"/>
  <c r="A49" i="1"/>
  <c r="A48" i="1"/>
  <c r="A47" i="1"/>
  <c r="A46" i="1"/>
  <c r="A45" i="1"/>
  <c r="A44" i="1"/>
  <c r="A43" i="1"/>
  <c r="A42" i="1"/>
  <c r="A41" i="1"/>
  <c r="A54" i="1" s="1"/>
  <c r="A40" i="1"/>
  <c r="A35" i="1"/>
  <c r="A34" i="1"/>
  <c r="A33" i="1"/>
  <c r="A32" i="1"/>
  <c r="A31" i="1"/>
  <c r="A30" i="1"/>
  <c r="A29" i="1"/>
  <c r="A28" i="1"/>
  <c r="A27" i="1"/>
  <c r="A26" i="1"/>
  <c r="A25" i="1"/>
  <c r="A24" i="1"/>
  <c r="A23" i="1"/>
  <c r="A22" i="1"/>
  <c r="A17" i="1"/>
  <c r="A16" i="1"/>
  <c r="A15" i="1"/>
  <c r="A14" i="1"/>
  <c r="A13" i="1"/>
  <c r="A12" i="1"/>
  <c r="A11" i="1"/>
  <c r="A10" i="1"/>
  <c r="A9" i="1"/>
  <c r="A8" i="1"/>
  <c r="A7" i="1"/>
  <c r="A6" i="1"/>
  <c r="A5" i="1"/>
  <c r="A4" i="1"/>
  <c r="A144" i="1" l="1"/>
  <c r="A108" i="1"/>
  <c r="A18" i="1"/>
  <c r="A72" i="1"/>
  <c r="A126" i="1"/>
  <c r="A36" i="1"/>
  <c r="D17" i="2"/>
  <c r="A90" i="1"/>
  <c r="A148" i="1" l="1"/>
  <c r="A150" i="1" s="1"/>
</calcChain>
</file>

<file path=xl/sharedStrings.xml><?xml version="1.0" encoding="utf-8"?>
<sst xmlns="http://schemas.openxmlformats.org/spreadsheetml/2006/main" count="161" uniqueCount="87">
  <si>
    <t xml:space="preserve">EXAMPLE Semester </t>
  </si>
  <si>
    <t>Shop #1</t>
  </si>
  <si>
    <t xml:space="preserve">Spring 20XX Semester </t>
  </si>
  <si>
    <t xml:space="preserve">Summer 20XX Semester </t>
  </si>
  <si>
    <t>Shop #2</t>
  </si>
  <si>
    <t>Shop #3</t>
  </si>
  <si>
    <t>Shop #4</t>
  </si>
  <si>
    <t>Shop #5</t>
  </si>
  <si>
    <t>Shop #6</t>
  </si>
  <si>
    <t>Shop #7</t>
  </si>
  <si>
    <t xml:space="preserve">Fall 20XX Semester </t>
  </si>
  <si>
    <t>EXAMPLE</t>
  </si>
  <si>
    <t>Future Semesters</t>
  </si>
  <si>
    <t>Tuition</t>
  </si>
  <si>
    <t>Notes</t>
  </si>
  <si>
    <t>Tuition Deposit</t>
  </si>
  <si>
    <t>Tuition - Relevant School</t>
  </si>
  <si>
    <t>Impulsive</t>
  </si>
  <si>
    <t>This is a good place to add notes on what you need to</t>
  </si>
  <si>
    <t>Tuition - Graduate Business</t>
  </si>
  <si>
    <t>know for future semesters and any changes that happen</t>
  </si>
  <si>
    <t>Student Activity Fee</t>
  </si>
  <si>
    <t>to tuition (like increases) that you should be aware about</t>
  </si>
  <si>
    <t>This is a good place to add</t>
  </si>
  <si>
    <t>Family came over to stay</t>
  </si>
  <si>
    <t>Inspired after watching Chopped lol</t>
  </si>
  <si>
    <t>Eggs, milk, cheese -- stocked up on dairy</t>
  </si>
  <si>
    <t>Tuition - Undergraduate Business</t>
  </si>
  <si>
    <t>Trader Joe's cakes</t>
  </si>
  <si>
    <t>Recreation Fee</t>
  </si>
  <si>
    <t>Student Center Fee</t>
  </si>
  <si>
    <t>some notes on what you buy so</t>
  </si>
  <si>
    <t>Gingerale</t>
  </si>
  <si>
    <t>Friend and I went and bought the randomest</t>
  </si>
  <si>
    <t>Stewed beef and chicken drums</t>
  </si>
  <si>
    <t>Tuition - Graduate Engineering</t>
  </si>
  <si>
    <t>Haagen Daz Ice Cream Bars</t>
  </si>
  <si>
    <t>you understand which shops you</t>
  </si>
  <si>
    <t>Madelleines (Mum's favourite)</t>
  </si>
  <si>
    <t>Definitely one-off...</t>
  </si>
  <si>
    <t>Dragonfruit smoothie</t>
  </si>
  <si>
    <t>tend to buy certain items from.</t>
  </si>
  <si>
    <t>Caesar salad stuff</t>
  </si>
  <si>
    <t>Candy</t>
  </si>
  <si>
    <t>Tuition - Graduate Art + Science</t>
  </si>
  <si>
    <t xml:space="preserve">It further helps breakdown how you </t>
  </si>
  <si>
    <t>Wings (drums not on sale)</t>
  </si>
  <si>
    <t>Soda</t>
  </si>
  <si>
    <t>Scholarship XX%</t>
  </si>
  <si>
    <t>spend by showing the type of shopper</t>
  </si>
  <si>
    <t>Health Plan Fee</t>
  </si>
  <si>
    <t>Jasmine rice -- no basmati</t>
  </si>
  <si>
    <t>Program Fee</t>
  </si>
  <si>
    <t>Granola bars</t>
  </si>
  <si>
    <t>Financial Award XX%</t>
  </si>
  <si>
    <t>you are and where you can improve</t>
  </si>
  <si>
    <t xml:space="preserve">Wild rice </t>
  </si>
  <si>
    <t>Counseling Fee</t>
  </si>
  <si>
    <t>certain habits.</t>
  </si>
  <si>
    <t>Grenadine syrup</t>
  </si>
  <si>
    <t>Barbecue lays x6 (for Tom)</t>
  </si>
  <si>
    <t>UNPAID</t>
  </si>
  <si>
    <t>Candles</t>
  </si>
  <si>
    <r>
      <rPr>
        <sz val="10"/>
        <color theme="1"/>
        <rFont val="Arial"/>
      </rPr>
      <t xml:space="preserve">Scholarship XX% </t>
    </r>
    <r>
      <rPr>
        <b/>
        <sz val="10"/>
        <color rgb="FFFF0000"/>
        <rFont val="Arial"/>
      </rPr>
      <t>*</t>
    </r>
  </si>
  <si>
    <r>
      <rPr>
        <sz val="10"/>
        <color theme="1"/>
        <rFont val="Arial"/>
      </rPr>
      <t xml:space="preserve">Scholarship XX% </t>
    </r>
    <r>
      <rPr>
        <b/>
        <sz val="10"/>
        <color rgb="FFFF0000"/>
        <rFont val="Arial"/>
      </rPr>
      <t>*</t>
    </r>
  </si>
  <si>
    <r>
      <rPr>
        <sz val="10"/>
        <color theme="1"/>
        <rFont val="Arial"/>
      </rPr>
      <t xml:space="preserve">Scholarship XX% </t>
    </r>
    <r>
      <rPr>
        <b/>
        <sz val="10"/>
        <color rgb="FFFF0000"/>
        <rFont val="Arial"/>
      </rPr>
      <t>*</t>
    </r>
  </si>
  <si>
    <r>
      <rPr>
        <sz val="10"/>
        <color theme="1"/>
        <rFont val="Arial"/>
      </rPr>
      <t xml:space="preserve">Scholarship XX% </t>
    </r>
    <r>
      <rPr>
        <b/>
        <sz val="10"/>
        <color rgb="FFFF0000"/>
        <rFont val="Arial"/>
      </rPr>
      <t>*</t>
    </r>
  </si>
  <si>
    <r>
      <rPr>
        <sz val="10"/>
        <color theme="1"/>
        <rFont val="Arial"/>
      </rPr>
      <t xml:space="preserve">Financial Award XX% </t>
    </r>
    <r>
      <rPr>
        <b/>
        <sz val="10"/>
        <color rgb="FFFF0000"/>
        <rFont val="Arial"/>
      </rPr>
      <t>*</t>
    </r>
  </si>
  <si>
    <r>
      <rPr>
        <sz val="10"/>
        <color theme="1"/>
        <rFont val="Arial"/>
      </rPr>
      <t xml:space="preserve">Financial Award XX% </t>
    </r>
    <r>
      <rPr>
        <b/>
        <sz val="10"/>
        <color rgb="FFFF0000"/>
        <rFont val="Arial"/>
      </rPr>
      <t>*</t>
    </r>
  </si>
  <si>
    <t>TOTAL</t>
  </si>
  <si>
    <r>
      <rPr>
        <sz val="10"/>
        <color theme="1"/>
        <rFont val="Arial"/>
      </rPr>
      <t xml:space="preserve">Financial Award XX% </t>
    </r>
    <r>
      <rPr>
        <b/>
        <sz val="10"/>
        <color rgb="FFFF0000"/>
        <rFont val="Arial"/>
      </rPr>
      <t>*</t>
    </r>
  </si>
  <si>
    <r>
      <rPr>
        <sz val="10"/>
        <color theme="1"/>
        <rFont val="Arial"/>
      </rPr>
      <t xml:space="preserve">Financial Award XX% </t>
    </r>
    <r>
      <rPr>
        <b/>
        <sz val="10"/>
        <color rgb="FFFF0000"/>
        <rFont val="Arial"/>
      </rPr>
      <t>*</t>
    </r>
  </si>
  <si>
    <t>Scholarship 45%</t>
  </si>
  <si>
    <t>MONTH</t>
  </si>
  <si>
    <t>Financial Award 5%</t>
  </si>
  <si>
    <t>* Change the decimal in the D column to reflect the appropriate discounted fee and select the applicable range based on what your letter dictates</t>
  </si>
  <si>
    <t>* Change the decimal in the J column to reflect the appropriate discounted fee and select the applicable range based on what your letter dictates</t>
  </si>
  <si>
    <t>* Change the decimal in the M column to reflect the appropriate discounted fee and select the applicable range based on what your letter dictates</t>
  </si>
  <si>
    <t>* Change the decimal in the P column to reflect the appropriate discounted fee and select the applicable range based on what your letter dictates</t>
  </si>
  <si>
    <t>PAID</t>
  </si>
  <si>
    <t>TOTAL SPEND</t>
  </si>
  <si>
    <t>MONTHLY AVG</t>
  </si>
  <si>
    <t>Bulk Buy</t>
  </si>
  <si>
    <t>General Food Items</t>
  </si>
  <si>
    <t>Special Food Items</t>
  </si>
  <si>
    <t>Edit the items in the drop down menu by selecting the cell, navigating to "Data" &gt; "Data Tools" &gt; "Data Validation" then edit the "Source" to suit your needs. Delete this cell when you're ready to takeover!</t>
  </si>
  <si>
    <t>Meal prepped stews and soups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</si>
</sst>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5" x14ac:knownFonts="1">
    <font>
      <sz val="10"/>
      <color rgb="FF000000"/>
      <name val="Arial"/>
      <scheme val="minor"/>
    </font>
    <font>
      <b/>
      <sz val="10"/>
      <color theme="1"/>
      <name val="Arial"/>
      <scheme val="minor"/>
    </font>
    <font>
      <b/>
      <sz val="13"/>
      <color rgb="FFFFFFFF"/>
      <name val="Arial"/>
      <scheme val="minor"/>
    </font>
    <font>
      <sz val="10"/>
      <name val="Arial"/>
    </font>
    <font>
      <sz val="13"/>
      <color theme="1"/>
      <name val="Arial"/>
      <scheme val="minor"/>
    </font>
    <font>
      <b/>
      <sz val="10"/>
      <color rgb="FF990000"/>
      <name val="Arial"/>
      <scheme val="minor"/>
    </font>
    <font>
      <sz val="10"/>
      <color theme="1"/>
      <name val="Arial"/>
      <scheme val="minor"/>
    </font>
    <font>
      <i/>
      <sz val="10"/>
      <color theme="1"/>
      <name val="Arial"/>
      <scheme val="minor"/>
    </font>
    <font>
      <i/>
      <sz val="10"/>
      <color theme="1"/>
      <name val="Arial"/>
    </font>
    <font>
      <sz val="10"/>
      <color rgb="FF980000"/>
      <name val="Arial"/>
      <scheme val="minor"/>
    </font>
    <font>
      <b/>
      <sz val="10"/>
      <color rgb="FF980000"/>
      <name val="Arial"/>
      <scheme val="minor"/>
    </font>
    <font>
      <b/>
      <sz val="10"/>
      <color rgb="FFFF0000"/>
      <name val="Arial"/>
      <scheme val="minor"/>
    </font>
    <font>
      <sz val="10"/>
      <color theme="1"/>
      <name val="Arial"/>
    </font>
    <font>
      <b/>
      <sz val="11"/>
      <color rgb="FFFFFFFF"/>
      <name val="Arial"/>
      <scheme val="minor"/>
    </font>
    <font>
      <b/>
      <sz val="10"/>
      <color rgb="FFFFFFFF"/>
      <name val="Arial"/>
      <scheme val="minor"/>
    </font>
    <font>
      <sz val="10"/>
      <color rgb="FFFFFFFF"/>
      <name val="Arial"/>
      <scheme val="minor"/>
    </font>
    <font>
      <sz val="10"/>
      <color rgb="FF000000"/>
      <name val="Arial"/>
      <scheme val="minor"/>
    </font>
    <font>
      <i/>
      <sz val="10"/>
      <color rgb="FF980000"/>
      <name val="Arial"/>
      <scheme val="minor"/>
    </font>
    <font>
      <i/>
      <sz val="10"/>
      <color rgb="FFFF0000"/>
      <name val="Arial"/>
      <scheme val="minor"/>
    </font>
    <font>
      <b/>
      <i/>
      <sz val="10"/>
      <color rgb="FF351C75"/>
      <name val="Arial"/>
      <scheme val="minor"/>
    </font>
    <font>
      <b/>
      <sz val="10"/>
      <color rgb="FFFF0000"/>
      <name val="Arial"/>
    </font>
    <font>
      <i/>
      <sz val="10"/>
      <color theme="1"/>
      <name val="Arial"/>
      <family val="2"/>
      <scheme val="minor"/>
    </font>
    <font>
      <b/>
      <sz val="10"/>
      <color theme="1"/>
      <name val="Arial"/>
      <family val="2"/>
      <scheme val="minor"/>
    </font>
    <font>
      <b/>
      <sz val="16"/>
      <name val="Arial"/>
      <family val="2"/>
      <scheme val="minor"/>
    </font>
    <font>
      <i/>
      <sz val="10"/>
      <color rgb="FF000000"/>
      <name val="Arial"/>
      <family val="2"/>
      <scheme val="minor"/>
    </font>
  </fonts>
  <fills count="8">
    <fill>
      <patternFill patternType="none"/>
    </fill>
    <fill>
      <patternFill patternType="gray125"/>
    </fill>
    <fill>
      <patternFill patternType="solid">
        <fgColor rgb="FF434343"/>
        <bgColor rgb="FF434343"/>
      </patternFill>
    </fill>
    <fill>
      <patternFill patternType="solid">
        <fgColor rgb="FFD9EAD3"/>
        <bgColor rgb="FFD9EAD3"/>
      </patternFill>
    </fill>
    <fill>
      <patternFill patternType="solid">
        <fgColor rgb="FF980000"/>
        <bgColor rgb="FF980000"/>
      </patternFill>
    </fill>
    <fill>
      <patternFill patternType="solid">
        <fgColor rgb="FF351C75"/>
        <bgColor rgb="FF351C75"/>
      </patternFill>
    </fill>
    <fill>
      <patternFill patternType="solid">
        <fgColor rgb="FFCFE2F3"/>
        <bgColor rgb="FFCFE2F3"/>
      </patternFill>
    </fill>
    <fill>
      <patternFill patternType="solid">
        <fgColor theme="6" tint="0.79998168889431442"/>
        <bgColor indexed="64"/>
      </patternFill>
    </fill>
  </fills>
  <borders count="8">
    <border>
      <left/>
      <right/>
      <top/>
      <bottom/>
      <diagonal/>
    </border>
    <border>
      <left/>
      <right/>
      <top/>
      <bottom style="medium">
        <color rgb="FF000000"/>
      </bottom>
      <diagonal/>
    </border>
    <border>
      <left/>
      <right/>
      <top style="medium">
        <color rgb="FF980000"/>
      </top>
      <bottom style="medium">
        <color rgb="FF980000"/>
      </bottom>
      <diagonal/>
    </border>
    <border>
      <left/>
      <right/>
      <top/>
      <bottom style="double">
        <color rgb="FF000000"/>
      </bottom>
      <diagonal/>
    </border>
    <border>
      <left style="dotted">
        <color rgb="FF000000"/>
      </left>
      <right/>
      <top/>
      <bottom style="double">
        <color rgb="FF000000"/>
      </bottom>
      <diagonal/>
    </border>
    <border>
      <left style="dotted">
        <color rgb="FF000000"/>
      </left>
      <right/>
      <top/>
      <bottom/>
      <diagonal/>
    </border>
    <border>
      <left/>
      <right/>
      <top/>
      <bottom style="thin">
        <color rgb="FF000000"/>
      </bottom>
      <diagonal/>
    </border>
    <border>
      <left/>
      <right/>
      <top style="medium">
        <color rgb="FF000000"/>
      </top>
      <bottom style="medium">
        <color rgb="FF000000"/>
      </bottom>
      <diagonal/>
    </border>
  </borders>
  <cellStyleXfs count="1">
    <xf numFmtId="0" fontId="0" fillId="0" borderId="0"/>
  </cellStyleXfs>
  <cellXfs count="52">
    <xf numFmtId="0" fontId="0" fillId="0" borderId="0" xfId="0"/>
    <xf numFmtId="0" fontId="1" fillId="0" borderId="0" xfId="0" applyFont="1"/>
    <xf numFmtId="0" fontId="2" fillId="2" borderId="1" xfId="0" applyFont="1" applyFill="1" applyBorder="1"/>
    <xf numFmtId="0" fontId="4" fillId="0" borderId="0" xfId="0" applyFont="1"/>
    <xf numFmtId="0" fontId="1" fillId="0" borderId="0" xfId="0" applyFont="1" applyAlignment="1">
      <alignment horizontal="center" vertical="center"/>
    </xf>
    <xf numFmtId="0" fontId="1" fillId="2" borderId="0" xfId="0" applyFont="1" applyFill="1" applyAlignment="1">
      <alignment horizontal="center" vertical="center"/>
    </xf>
    <xf numFmtId="0" fontId="2" fillId="0" borderId="0" xfId="0" applyFont="1"/>
    <xf numFmtId="0" fontId="1" fillId="0" borderId="2" xfId="0" applyFont="1" applyBorder="1" applyAlignment="1">
      <alignment wrapText="1"/>
    </xf>
    <xf numFmtId="0" fontId="1" fillId="0" borderId="4" xfId="0" applyFont="1" applyBorder="1"/>
    <xf numFmtId="164" fontId="5" fillId="0" borderId="0" xfId="0" applyNumberFormat="1" applyFont="1"/>
    <xf numFmtId="0" fontId="6" fillId="0" borderId="2" xfId="0" applyFont="1" applyBorder="1" applyAlignment="1">
      <alignment wrapText="1"/>
    </xf>
    <xf numFmtId="0" fontId="5" fillId="0" borderId="0" xfId="0" applyFont="1" applyAlignment="1">
      <alignment horizontal="left"/>
    </xf>
    <xf numFmtId="164" fontId="6" fillId="0" borderId="0" xfId="0" applyNumberFormat="1" applyFont="1"/>
    <xf numFmtId="0" fontId="6" fillId="0" borderId="0" xfId="0" applyFont="1" applyAlignment="1">
      <alignment horizontal="left"/>
    </xf>
    <xf numFmtId="0" fontId="7" fillId="0" borderId="5" xfId="0" applyFont="1" applyBorder="1" applyAlignment="1">
      <alignment vertical="center" wrapText="1"/>
    </xf>
    <xf numFmtId="0" fontId="6" fillId="0" borderId="0" xfId="0" applyFont="1" applyAlignment="1">
      <alignment wrapText="1"/>
    </xf>
    <xf numFmtId="0" fontId="8" fillId="0" borderId="0" xfId="0" applyFont="1"/>
    <xf numFmtId="0" fontId="6" fillId="0" borderId="0" xfId="0" applyFont="1"/>
    <xf numFmtId="164" fontId="9" fillId="0" borderId="0" xfId="0" applyNumberFormat="1" applyFont="1"/>
    <xf numFmtId="0" fontId="6" fillId="0" borderId="5" xfId="0" applyFont="1" applyBorder="1" applyAlignment="1">
      <alignment horizontal="left" vertical="center" wrapText="1"/>
    </xf>
    <xf numFmtId="0" fontId="6" fillId="0" borderId="6" xfId="0" applyFont="1" applyBorder="1"/>
    <xf numFmtId="164" fontId="10" fillId="0" borderId="7" xfId="0" applyNumberFormat="1" applyFont="1" applyBorder="1"/>
    <xf numFmtId="164" fontId="11" fillId="0" borderId="7" xfId="0" applyNumberFormat="1" applyFont="1" applyBorder="1" applyAlignment="1">
      <alignment horizontal="left"/>
    </xf>
    <xf numFmtId="164" fontId="11" fillId="0" borderId="0" xfId="0" applyNumberFormat="1" applyFont="1" applyAlignment="1">
      <alignment horizontal="left"/>
    </xf>
    <xf numFmtId="164" fontId="12" fillId="0" borderId="0" xfId="0" applyNumberFormat="1" applyFont="1" applyAlignment="1">
      <alignment horizontal="right"/>
    </xf>
    <xf numFmtId="0" fontId="12" fillId="0" borderId="0" xfId="0" applyFont="1"/>
    <xf numFmtId="4" fontId="6" fillId="0" borderId="0" xfId="0" applyNumberFormat="1" applyFont="1"/>
    <xf numFmtId="0" fontId="14" fillId="2" borderId="2" xfId="0" applyFont="1" applyFill="1" applyBorder="1"/>
    <xf numFmtId="164" fontId="15" fillId="2" borderId="2" xfId="0" applyNumberFormat="1" applyFont="1" applyFill="1" applyBorder="1"/>
    <xf numFmtId="164" fontId="1" fillId="2" borderId="0" xfId="0" applyNumberFormat="1" applyFont="1" applyFill="1" applyAlignment="1">
      <alignment horizontal="center" vertical="center"/>
    </xf>
    <xf numFmtId="0" fontId="16" fillId="0" borderId="0" xfId="0" applyFont="1"/>
    <xf numFmtId="164" fontId="11" fillId="0" borderId="0" xfId="0" applyNumberFormat="1" applyFont="1"/>
    <xf numFmtId="0" fontId="6" fillId="0" borderId="0" xfId="0" applyFont="1" applyAlignment="1">
      <alignment vertical="center"/>
    </xf>
    <xf numFmtId="0" fontId="18" fillId="0" borderId="0" xfId="0" applyFont="1"/>
    <xf numFmtId="0" fontId="14" fillId="5" borderId="0" xfId="0" applyFont="1" applyFill="1"/>
    <xf numFmtId="164" fontId="15" fillId="0" borderId="0" xfId="0" applyNumberFormat="1" applyFont="1"/>
    <xf numFmtId="164" fontId="1" fillId="0" borderId="0" xfId="0" applyNumberFormat="1" applyFont="1" applyAlignment="1">
      <alignment horizontal="center" vertical="center"/>
    </xf>
    <xf numFmtId="164" fontId="19" fillId="6" borderId="0" xfId="0" applyNumberFormat="1" applyFont="1" applyFill="1"/>
    <xf numFmtId="0" fontId="21" fillId="0" borderId="5" xfId="0" applyFont="1" applyBorder="1" applyAlignment="1">
      <alignment vertical="center" wrapText="1"/>
    </xf>
    <xf numFmtId="0" fontId="22" fillId="0" borderId="0" xfId="0" applyFont="1" applyAlignment="1">
      <alignment horizontal="center" vertical="center"/>
    </xf>
    <xf numFmtId="164" fontId="13" fillId="4" borderId="0" xfId="0" applyNumberFormat="1" applyFont="1" applyFill="1" applyAlignment="1">
      <alignment horizontal="center" vertical="center"/>
    </xf>
    <xf numFmtId="0" fontId="0" fillId="0" borderId="0" xfId="0"/>
    <xf numFmtId="0" fontId="23" fillId="7" borderId="0" xfId="0" applyFont="1" applyFill="1" applyAlignment="1">
      <alignment horizontal="center" vertical="center" wrapText="1"/>
    </xf>
    <xf numFmtId="0" fontId="0" fillId="7" borderId="0" xfId="0" applyFill="1" applyAlignment="1">
      <alignment horizontal="center" vertical="center" wrapText="1"/>
    </xf>
    <xf numFmtId="0" fontId="1" fillId="3" borderId="0" xfId="0" applyFont="1" applyFill="1" applyAlignment="1">
      <alignment horizontal="center"/>
    </xf>
    <xf numFmtId="0" fontId="17" fillId="0" borderId="0" xfId="0" applyFont="1" applyAlignment="1">
      <alignment vertical="center" wrapText="1"/>
    </xf>
    <xf numFmtId="0" fontId="2" fillId="2" borderId="1" xfId="0" applyFont="1" applyFill="1" applyBorder="1"/>
    <xf numFmtId="0" fontId="3" fillId="0" borderId="1" xfId="0" applyFont="1" applyBorder="1"/>
    <xf numFmtId="0" fontId="1" fillId="0" borderId="3" xfId="0" applyFont="1" applyBorder="1"/>
    <xf numFmtId="0" fontId="3" fillId="0" borderId="3" xfId="0" applyFont="1" applyBorder="1"/>
    <xf numFmtId="0" fontId="21" fillId="0" borderId="0" xfId="0" applyFont="1"/>
    <xf numFmtId="0" fontId="24" fillId="0" borderId="0" xfId="0" applyFont="1"/>
  </cellXfs>
  <cellStyles count="1">
    <cellStyle name="Normal" xfId="0" builtinId="0"/>
  </cellStyles>
  <dxfs count="2">
    <dxf>
      <fill>
        <patternFill patternType="solid">
          <fgColor rgb="FFB7E1CD"/>
          <bgColor rgb="FFB7E1CD"/>
        </patternFill>
      </fill>
    </dxf>
    <dxf>
      <fill>
        <patternFill patternType="solid">
          <fgColor rgb="FFF4CCCC"/>
          <bgColor rgb="FFF4CCCC"/>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50"/>
  <sheetViews>
    <sheetView tabSelected="1" workbookViewId="0">
      <pane xSplit="1" ySplit="2" topLeftCell="B3" activePane="bottomRight" state="frozen"/>
      <selection pane="topRight" activeCell="B1" sqref="B1"/>
      <selection pane="bottomLeft" activeCell="A2" sqref="A2"/>
      <selection pane="bottomRight" activeCell="H6" sqref="H6"/>
    </sheetView>
  </sheetViews>
  <sheetFormatPr defaultColWidth="12.6640625" defaultRowHeight="15.75" customHeight="1" x14ac:dyDescent="0.25"/>
  <cols>
    <col min="1" max="1" width="13.6640625" customWidth="1"/>
    <col min="2" max="2" width="34.33203125" customWidth="1"/>
    <col min="3" max="3" width="1.109375" customWidth="1"/>
    <col min="4" max="4" width="34.33203125" customWidth="1"/>
    <col min="5" max="5" width="1.109375" customWidth="1"/>
    <col min="6" max="6" width="34.33203125" customWidth="1"/>
    <col min="7" max="7" width="1.109375" customWidth="1"/>
    <col min="8" max="8" width="34.33203125" customWidth="1"/>
    <col min="9" max="9" width="1.109375" customWidth="1"/>
    <col min="10" max="10" width="34.33203125" customWidth="1"/>
    <col min="11" max="11" width="1.109375" customWidth="1"/>
    <col min="12" max="12" width="34.33203125" customWidth="1"/>
    <col min="13" max="13" width="1.109375" customWidth="1"/>
    <col min="14" max="14" width="34.33203125" customWidth="1"/>
    <col min="15" max="27" width="12.6640625" hidden="1"/>
  </cols>
  <sheetData>
    <row r="1" spans="1:27" ht="40.799999999999997" customHeight="1" x14ac:dyDescent="0.25">
      <c r="B1" s="42" t="s">
        <v>85</v>
      </c>
      <c r="C1" s="43"/>
      <c r="D1" s="43"/>
      <c r="E1" s="43"/>
      <c r="F1" s="43"/>
      <c r="G1" s="43"/>
      <c r="H1" s="43"/>
      <c r="I1" s="43"/>
      <c r="J1" s="43"/>
      <c r="K1" s="43"/>
      <c r="L1" s="43"/>
      <c r="M1" s="43"/>
      <c r="N1" s="43"/>
    </row>
    <row r="2" spans="1:27" ht="13.2" x14ac:dyDescent="0.25">
      <c r="A2" s="1"/>
      <c r="B2" s="4" t="s">
        <v>1</v>
      </c>
      <c r="C2" s="5"/>
      <c r="D2" s="4" t="s">
        <v>4</v>
      </c>
      <c r="E2" s="5"/>
      <c r="F2" s="39" t="s">
        <v>5</v>
      </c>
      <c r="G2" s="5"/>
      <c r="H2" s="4" t="s">
        <v>6</v>
      </c>
      <c r="I2" s="5"/>
      <c r="J2" s="4" t="s">
        <v>7</v>
      </c>
      <c r="K2" s="5"/>
      <c r="L2" s="4" t="s">
        <v>8</v>
      </c>
      <c r="M2" s="5"/>
      <c r="N2" s="4" t="s">
        <v>9</v>
      </c>
      <c r="O2" s="1"/>
      <c r="P2" s="1"/>
      <c r="Q2" s="1"/>
      <c r="R2" s="1"/>
      <c r="S2" s="1"/>
      <c r="T2" s="1"/>
      <c r="U2" s="1"/>
      <c r="V2" s="1"/>
      <c r="W2" s="1"/>
      <c r="X2" s="1"/>
      <c r="Y2" s="1"/>
      <c r="Z2" s="1"/>
      <c r="AA2" s="1"/>
    </row>
    <row r="3" spans="1:27" ht="13.2" x14ac:dyDescent="0.25">
      <c r="A3" s="7" t="s">
        <v>11</v>
      </c>
      <c r="B3" s="10" t="s">
        <v>84</v>
      </c>
      <c r="C3" s="5"/>
      <c r="D3" s="10" t="s">
        <v>83</v>
      </c>
      <c r="E3" s="5"/>
      <c r="F3" s="10" t="s">
        <v>17</v>
      </c>
      <c r="G3" s="5"/>
      <c r="H3" s="10" t="s">
        <v>82</v>
      </c>
      <c r="I3" s="5"/>
      <c r="J3" s="10" t="s">
        <v>17</v>
      </c>
      <c r="K3" s="5"/>
      <c r="L3" s="10"/>
      <c r="M3" s="5"/>
      <c r="N3" s="10"/>
      <c r="O3" s="15"/>
      <c r="P3" s="15"/>
      <c r="Q3" s="15"/>
      <c r="R3" s="15"/>
      <c r="S3" s="15"/>
      <c r="T3" s="15"/>
      <c r="U3" s="15"/>
      <c r="V3" s="15"/>
      <c r="W3" s="15"/>
      <c r="X3" s="15"/>
      <c r="Y3" s="15"/>
      <c r="Z3" s="15"/>
      <c r="AA3" s="15"/>
    </row>
    <row r="4" spans="1:27" ht="13.2" x14ac:dyDescent="0.25">
      <c r="A4" s="1" t="str">
        <f>$B$2</f>
        <v>Shop #1</v>
      </c>
      <c r="B4" s="16" t="s">
        <v>23</v>
      </c>
      <c r="C4" s="5"/>
      <c r="D4" s="50" t="s">
        <v>24</v>
      </c>
      <c r="E4" s="5"/>
      <c r="F4" s="17" t="s">
        <v>25</v>
      </c>
      <c r="G4" s="5"/>
      <c r="H4" s="17" t="s">
        <v>26</v>
      </c>
      <c r="I4" s="5"/>
      <c r="J4" s="17" t="s">
        <v>28</v>
      </c>
      <c r="K4" s="5"/>
      <c r="M4" s="5"/>
    </row>
    <row r="5" spans="1:27" ht="13.2" x14ac:dyDescent="0.25">
      <c r="A5" s="18">
        <f>B20</f>
        <v>0</v>
      </c>
      <c r="B5" s="16" t="s">
        <v>31</v>
      </c>
      <c r="C5" s="5"/>
      <c r="D5" s="17" t="s">
        <v>32</v>
      </c>
      <c r="E5" s="5"/>
      <c r="F5" s="17" t="s">
        <v>33</v>
      </c>
      <c r="G5" s="5"/>
      <c r="H5" s="17" t="s">
        <v>34</v>
      </c>
      <c r="I5" s="5"/>
      <c r="J5" s="17" t="s">
        <v>36</v>
      </c>
      <c r="K5" s="5"/>
      <c r="M5" s="5"/>
    </row>
    <row r="6" spans="1:27" ht="13.2" x14ac:dyDescent="0.25">
      <c r="A6" s="1" t="str">
        <f>$D$2</f>
        <v>Shop #2</v>
      </c>
      <c r="B6" s="16" t="s">
        <v>37</v>
      </c>
      <c r="C6" s="5"/>
      <c r="D6" s="17" t="s">
        <v>38</v>
      </c>
      <c r="E6" s="5"/>
      <c r="F6" s="20" t="s">
        <v>39</v>
      </c>
      <c r="G6" s="5"/>
      <c r="H6" s="51" t="s">
        <v>86</v>
      </c>
      <c r="I6" s="5"/>
      <c r="J6" s="17" t="s">
        <v>40</v>
      </c>
      <c r="K6" s="5"/>
      <c r="M6" s="5"/>
    </row>
    <row r="7" spans="1:27" ht="13.2" x14ac:dyDescent="0.25">
      <c r="A7" s="18">
        <f>D20</f>
        <v>68</v>
      </c>
      <c r="B7" s="16" t="s">
        <v>41</v>
      </c>
      <c r="C7" s="5"/>
      <c r="D7" s="17" t="s">
        <v>42</v>
      </c>
      <c r="E7" s="5"/>
      <c r="F7" s="17" t="s">
        <v>43</v>
      </c>
      <c r="G7" s="5"/>
      <c r="I7" s="5"/>
      <c r="K7" s="5"/>
      <c r="M7" s="5"/>
    </row>
    <row r="8" spans="1:27" ht="13.2" x14ac:dyDescent="0.25">
      <c r="A8" s="1" t="str">
        <f>$F$2</f>
        <v>Shop #3</v>
      </c>
      <c r="B8" s="16" t="s">
        <v>45</v>
      </c>
      <c r="C8" s="5"/>
      <c r="D8" s="17" t="s">
        <v>46</v>
      </c>
      <c r="E8" s="5"/>
      <c r="F8" s="17" t="s">
        <v>47</v>
      </c>
      <c r="G8" s="5"/>
      <c r="I8" s="5"/>
      <c r="K8" s="5"/>
      <c r="M8" s="5"/>
    </row>
    <row r="9" spans="1:27" ht="13.2" x14ac:dyDescent="0.25">
      <c r="A9" s="18">
        <f>F20</f>
        <v>46</v>
      </c>
      <c r="B9" s="16" t="s">
        <v>49</v>
      </c>
      <c r="C9" s="5"/>
      <c r="D9" s="17" t="s">
        <v>51</v>
      </c>
      <c r="E9" s="5"/>
      <c r="F9" s="17" t="s">
        <v>53</v>
      </c>
      <c r="G9" s="5"/>
      <c r="I9" s="5"/>
      <c r="K9" s="5"/>
      <c r="M9" s="5"/>
    </row>
    <row r="10" spans="1:27" ht="13.2" x14ac:dyDescent="0.25">
      <c r="A10" s="1" t="str">
        <f>$H$2</f>
        <v>Shop #4</v>
      </c>
      <c r="B10" s="16" t="s">
        <v>55</v>
      </c>
      <c r="C10" s="5"/>
      <c r="D10" s="17" t="s">
        <v>56</v>
      </c>
      <c r="E10" s="5"/>
      <c r="G10" s="5"/>
      <c r="I10" s="5"/>
      <c r="K10" s="5"/>
      <c r="M10" s="5"/>
    </row>
    <row r="11" spans="1:27" ht="13.2" x14ac:dyDescent="0.25">
      <c r="A11" s="18">
        <f>H20</f>
        <v>187</v>
      </c>
      <c r="B11" s="16" t="s">
        <v>58</v>
      </c>
      <c r="C11" s="5"/>
      <c r="D11" s="17" t="s">
        <v>59</v>
      </c>
      <c r="E11" s="5"/>
      <c r="G11" s="5"/>
      <c r="I11" s="5"/>
      <c r="K11" s="5"/>
      <c r="M11" s="5"/>
    </row>
    <row r="12" spans="1:27" ht="13.2" x14ac:dyDescent="0.25">
      <c r="A12" s="1" t="str">
        <f>$J$2</f>
        <v>Shop #5</v>
      </c>
      <c r="B12" s="16"/>
      <c r="C12" s="5"/>
      <c r="D12" s="17" t="s">
        <v>60</v>
      </c>
      <c r="E12" s="5"/>
      <c r="G12" s="5"/>
      <c r="I12" s="5"/>
      <c r="K12" s="5"/>
      <c r="M12" s="5"/>
    </row>
    <row r="13" spans="1:27" ht="13.2" x14ac:dyDescent="0.25">
      <c r="A13" s="18">
        <f>J20</f>
        <v>18</v>
      </c>
      <c r="B13" s="16"/>
      <c r="C13" s="5"/>
      <c r="D13" s="17" t="s">
        <v>62</v>
      </c>
      <c r="E13" s="5"/>
      <c r="G13" s="5"/>
      <c r="I13" s="5"/>
      <c r="K13" s="5"/>
      <c r="M13" s="5"/>
    </row>
    <row r="14" spans="1:27" ht="13.2" x14ac:dyDescent="0.25">
      <c r="A14" s="1" t="str">
        <f>$L$2</f>
        <v>Shop #6</v>
      </c>
      <c r="B14" s="16"/>
      <c r="C14" s="5"/>
      <c r="E14" s="5"/>
      <c r="G14" s="5"/>
      <c r="I14" s="5"/>
      <c r="K14" s="5"/>
      <c r="M14" s="5"/>
    </row>
    <row r="15" spans="1:27" ht="13.2" x14ac:dyDescent="0.25">
      <c r="A15" s="18">
        <f>L20</f>
        <v>0</v>
      </c>
      <c r="B15" s="25"/>
      <c r="C15" s="5"/>
      <c r="E15" s="5"/>
      <c r="G15" s="5"/>
      <c r="I15" s="5"/>
      <c r="K15" s="5"/>
      <c r="M15" s="5"/>
    </row>
    <row r="16" spans="1:27" ht="13.2" x14ac:dyDescent="0.25">
      <c r="A16" s="1" t="str">
        <f>$N$2</f>
        <v>Shop #7</v>
      </c>
      <c r="B16" s="25"/>
      <c r="C16" s="5"/>
      <c r="E16" s="5"/>
      <c r="G16" s="5"/>
      <c r="I16" s="5"/>
      <c r="K16" s="5"/>
      <c r="M16" s="5"/>
    </row>
    <row r="17" spans="1:27" ht="13.2" x14ac:dyDescent="0.25">
      <c r="A17" s="18">
        <f>N20</f>
        <v>0</v>
      </c>
      <c r="B17" s="25"/>
      <c r="C17" s="5"/>
      <c r="E17" s="5"/>
      <c r="G17" s="5"/>
      <c r="I17" s="5"/>
      <c r="K17" s="5"/>
      <c r="M17" s="5"/>
    </row>
    <row r="18" spans="1:27" ht="13.2" x14ac:dyDescent="0.25">
      <c r="A18" s="40">
        <f>A5+A7+A9+A11+A13+A15+A17</f>
        <v>319</v>
      </c>
      <c r="B18" s="25"/>
      <c r="C18" s="5"/>
      <c r="D18" s="17"/>
      <c r="E18" s="5"/>
      <c r="G18" s="5"/>
      <c r="I18" s="5"/>
      <c r="K18" s="5"/>
      <c r="M18" s="5"/>
    </row>
    <row r="19" spans="1:27" ht="13.2" x14ac:dyDescent="0.25">
      <c r="A19" s="41"/>
      <c r="B19" s="25"/>
      <c r="C19" s="5"/>
      <c r="D19" s="17"/>
      <c r="E19" s="5"/>
      <c r="G19" s="5"/>
      <c r="I19" s="5"/>
      <c r="K19" s="5"/>
      <c r="M19" s="5"/>
    </row>
    <row r="20" spans="1:27" ht="13.2" x14ac:dyDescent="0.25">
      <c r="A20" s="27" t="s">
        <v>69</v>
      </c>
      <c r="B20" s="28">
        <v>0</v>
      </c>
      <c r="C20" s="29"/>
      <c r="D20" s="28">
        <v>68</v>
      </c>
      <c r="E20" s="29"/>
      <c r="F20" s="28">
        <v>46</v>
      </c>
      <c r="G20" s="29"/>
      <c r="H20" s="28">
        <v>187</v>
      </c>
      <c r="I20" s="29"/>
      <c r="J20" s="28">
        <v>18</v>
      </c>
      <c r="K20" s="29"/>
      <c r="L20" s="28">
        <v>0</v>
      </c>
      <c r="M20" s="29"/>
      <c r="N20" s="28">
        <v>0</v>
      </c>
      <c r="O20" s="12"/>
      <c r="P20" s="12"/>
      <c r="Q20" s="12"/>
      <c r="R20" s="12"/>
      <c r="S20" s="12"/>
      <c r="T20" s="12"/>
      <c r="U20" s="12"/>
      <c r="V20" s="12"/>
      <c r="W20" s="12"/>
      <c r="X20" s="12"/>
      <c r="Y20" s="12"/>
      <c r="Z20" s="12"/>
      <c r="AA20" s="12"/>
    </row>
    <row r="21" spans="1:27" ht="13.2" x14ac:dyDescent="0.25">
      <c r="A21" s="7" t="s">
        <v>73</v>
      </c>
      <c r="B21" s="10"/>
      <c r="C21" s="5"/>
      <c r="D21" s="10"/>
      <c r="E21" s="5"/>
      <c r="F21" s="10"/>
      <c r="G21" s="5"/>
      <c r="H21" s="10"/>
      <c r="I21" s="5"/>
      <c r="J21" s="10"/>
      <c r="K21" s="5"/>
      <c r="L21" s="10"/>
      <c r="M21" s="5"/>
      <c r="N21" s="10"/>
      <c r="O21" s="15"/>
      <c r="P21" s="15"/>
      <c r="Q21" s="15"/>
      <c r="R21" s="15"/>
      <c r="S21" s="15"/>
      <c r="T21" s="15"/>
      <c r="U21" s="15"/>
      <c r="V21" s="15"/>
      <c r="W21" s="15"/>
      <c r="X21" s="15"/>
      <c r="Y21" s="15"/>
      <c r="Z21" s="15"/>
      <c r="AA21" s="15"/>
    </row>
    <row r="22" spans="1:27" ht="13.2" x14ac:dyDescent="0.25">
      <c r="A22" s="1" t="str">
        <f>$B$2</f>
        <v>Shop #1</v>
      </c>
      <c r="C22" s="5"/>
      <c r="E22" s="5"/>
      <c r="F22" s="30"/>
      <c r="G22" s="5"/>
      <c r="I22" s="5"/>
      <c r="K22" s="5"/>
      <c r="M22" s="5"/>
    </row>
    <row r="23" spans="1:27" ht="13.2" x14ac:dyDescent="0.25">
      <c r="A23" s="18">
        <f>B38</f>
        <v>0</v>
      </c>
      <c r="C23" s="5"/>
      <c r="E23" s="5"/>
      <c r="F23" s="30"/>
      <c r="G23" s="5"/>
      <c r="I23" s="5"/>
      <c r="K23" s="5"/>
      <c r="M23" s="5"/>
    </row>
    <row r="24" spans="1:27" ht="13.2" x14ac:dyDescent="0.25">
      <c r="A24" s="1" t="str">
        <f>$D$2</f>
        <v>Shop #2</v>
      </c>
      <c r="C24" s="5"/>
      <c r="E24" s="5"/>
      <c r="F24" s="30"/>
      <c r="G24" s="5"/>
      <c r="I24" s="5"/>
      <c r="K24" s="5"/>
      <c r="M24" s="5"/>
    </row>
    <row r="25" spans="1:27" ht="13.2" x14ac:dyDescent="0.25">
      <c r="A25" s="18">
        <f>D38</f>
        <v>0</v>
      </c>
      <c r="C25" s="5"/>
      <c r="E25" s="5"/>
      <c r="F25" s="30"/>
      <c r="G25" s="5"/>
      <c r="I25" s="5"/>
      <c r="K25" s="5"/>
      <c r="M25" s="5"/>
    </row>
    <row r="26" spans="1:27" ht="13.2" x14ac:dyDescent="0.25">
      <c r="A26" s="1" t="str">
        <f>$F$2</f>
        <v>Shop #3</v>
      </c>
      <c r="C26" s="5"/>
      <c r="E26" s="5"/>
      <c r="F26" s="30"/>
      <c r="G26" s="5"/>
      <c r="I26" s="5"/>
      <c r="K26" s="5"/>
      <c r="M26" s="5"/>
    </row>
    <row r="27" spans="1:27" ht="13.2" x14ac:dyDescent="0.25">
      <c r="A27" s="18">
        <f>F38</f>
        <v>0</v>
      </c>
      <c r="C27" s="5"/>
      <c r="E27" s="5"/>
      <c r="F27" s="30"/>
      <c r="G27" s="5"/>
      <c r="I27" s="5"/>
      <c r="K27" s="5"/>
      <c r="M27" s="5"/>
    </row>
    <row r="28" spans="1:27" ht="13.2" x14ac:dyDescent="0.25">
      <c r="A28" s="1" t="str">
        <f>$H$2</f>
        <v>Shop #4</v>
      </c>
      <c r="C28" s="5"/>
      <c r="E28" s="5"/>
      <c r="F28" s="30"/>
      <c r="G28" s="5"/>
      <c r="I28" s="5"/>
      <c r="K28" s="5"/>
      <c r="M28" s="5"/>
    </row>
    <row r="29" spans="1:27" ht="13.2" x14ac:dyDescent="0.25">
      <c r="A29" s="18">
        <f>H38</f>
        <v>0</v>
      </c>
      <c r="C29" s="5"/>
      <c r="E29" s="5"/>
      <c r="F29" s="30"/>
      <c r="G29" s="5"/>
      <c r="I29" s="5"/>
      <c r="K29" s="5"/>
      <c r="M29" s="5"/>
    </row>
    <row r="30" spans="1:27" ht="13.2" x14ac:dyDescent="0.25">
      <c r="A30" s="1" t="str">
        <f>$J$2</f>
        <v>Shop #5</v>
      </c>
      <c r="C30" s="5"/>
      <c r="E30" s="5"/>
      <c r="F30" s="30"/>
      <c r="G30" s="5"/>
      <c r="I30" s="5"/>
      <c r="K30" s="5"/>
      <c r="M30" s="5"/>
    </row>
    <row r="31" spans="1:27" ht="13.2" x14ac:dyDescent="0.25">
      <c r="A31" s="18">
        <f>J38</f>
        <v>0</v>
      </c>
      <c r="C31" s="5"/>
      <c r="E31" s="5"/>
      <c r="F31" s="30"/>
      <c r="G31" s="5"/>
      <c r="I31" s="5"/>
      <c r="K31" s="5"/>
      <c r="M31" s="5"/>
    </row>
    <row r="32" spans="1:27" ht="13.2" x14ac:dyDescent="0.25">
      <c r="A32" s="1" t="str">
        <f>$L$2</f>
        <v>Shop #6</v>
      </c>
      <c r="C32" s="5"/>
      <c r="E32" s="5"/>
      <c r="F32" s="30"/>
      <c r="G32" s="5"/>
      <c r="I32" s="5"/>
      <c r="K32" s="5"/>
      <c r="M32" s="5"/>
    </row>
    <row r="33" spans="1:27" ht="13.2" x14ac:dyDescent="0.25">
      <c r="A33" s="18">
        <f>L38</f>
        <v>0</v>
      </c>
      <c r="C33" s="5"/>
      <c r="E33" s="5"/>
      <c r="F33" s="30"/>
      <c r="G33" s="5"/>
      <c r="I33" s="5"/>
      <c r="K33" s="5"/>
      <c r="M33" s="5"/>
    </row>
    <row r="34" spans="1:27" ht="13.2" x14ac:dyDescent="0.25">
      <c r="A34" s="1" t="str">
        <f>$N$2</f>
        <v>Shop #7</v>
      </c>
      <c r="C34" s="5"/>
      <c r="E34" s="5"/>
      <c r="F34" s="30"/>
      <c r="G34" s="5"/>
      <c r="I34" s="5"/>
      <c r="K34" s="5"/>
      <c r="M34" s="5"/>
    </row>
    <row r="35" spans="1:27" ht="13.2" x14ac:dyDescent="0.25">
      <c r="A35" s="18">
        <f>N38</f>
        <v>0</v>
      </c>
      <c r="C35" s="5"/>
      <c r="E35" s="5"/>
      <c r="F35" s="30"/>
      <c r="G35" s="5"/>
      <c r="I35" s="5"/>
      <c r="K35" s="5"/>
      <c r="M35" s="5"/>
    </row>
    <row r="36" spans="1:27" ht="13.2" x14ac:dyDescent="0.25">
      <c r="A36" s="40">
        <f>A23+A25+A27+A29+A31+A33+A35</f>
        <v>0</v>
      </c>
      <c r="C36" s="5"/>
      <c r="D36" s="17"/>
      <c r="E36" s="5"/>
      <c r="F36" s="30"/>
      <c r="G36" s="5"/>
      <c r="I36" s="5"/>
      <c r="K36" s="5"/>
      <c r="M36" s="5"/>
    </row>
    <row r="37" spans="1:27" ht="13.2" x14ac:dyDescent="0.25">
      <c r="A37" s="41"/>
      <c r="C37" s="5"/>
      <c r="D37" s="17"/>
      <c r="E37" s="5"/>
      <c r="F37" s="30"/>
      <c r="G37" s="5"/>
      <c r="I37" s="5"/>
      <c r="K37" s="5"/>
      <c r="M37" s="5"/>
    </row>
    <row r="38" spans="1:27" ht="13.2" x14ac:dyDescent="0.25">
      <c r="A38" s="27" t="s">
        <v>69</v>
      </c>
      <c r="B38" s="28"/>
      <c r="C38" s="29"/>
      <c r="D38" s="28"/>
      <c r="E38" s="29"/>
      <c r="F38" s="28"/>
      <c r="G38" s="29"/>
      <c r="H38" s="28"/>
      <c r="I38" s="29"/>
      <c r="J38" s="28"/>
      <c r="K38" s="29"/>
      <c r="L38" s="28"/>
      <c r="M38" s="29"/>
      <c r="N38" s="28"/>
      <c r="O38" s="12"/>
      <c r="P38" s="12"/>
      <c r="Q38" s="12"/>
      <c r="R38" s="12"/>
      <c r="S38" s="12"/>
      <c r="T38" s="12"/>
      <c r="U38" s="12"/>
      <c r="V38" s="12"/>
      <c r="W38" s="12"/>
      <c r="X38" s="12"/>
      <c r="Y38" s="12"/>
      <c r="Z38" s="12"/>
      <c r="AA38" s="12"/>
    </row>
    <row r="39" spans="1:27" ht="13.2" x14ac:dyDescent="0.25">
      <c r="A39" s="7" t="s">
        <v>73</v>
      </c>
      <c r="B39" s="10"/>
      <c r="C39" s="5"/>
      <c r="D39" s="10"/>
      <c r="E39" s="5"/>
      <c r="F39" s="10"/>
      <c r="G39" s="5"/>
      <c r="H39" s="10"/>
      <c r="I39" s="5"/>
      <c r="J39" s="10"/>
      <c r="K39" s="5"/>
      <c r="L39" s="10"/>
      <c r="M39" s="5"/>
      <c r="N39" s="10"/>
      <c r="O39" s="15"/>
      <c r="P39" s="15"/>
      <c r="Q39" s="15"/>
      <c r="R39" s="15"/>
      <c r="S39" s="15"/>
      <c r="T39" s="15"/>
      <c r="U39" s="15"/>
      <c r="V39" s="15"/>
      <c r="W39" s="15"/>
      <c r="X39" s="15"/>
      <c r="Y39" s="15"/>
      <c r="Z39" s="15"/>
      <c r="AA39" s="15"/>
    </row>
    <row r="40" spans="1:27" ht="13.2" x14ac:dyDescent="0.25">
      <c r="A40" s="1" t="str">
        <f>$B$2</f>
        <v>Shop #1</v>
      </c>
      <c r="C40" s="5"/>
      <c r="E40" s="5"/>
      <c r="G40" s="5"/>
      <c r="I40" s="5"/>
      <c r="K40" s="5"/>
      <c r="M40" s="5"/>
    </row>
    <row r="41" spans="1:27" ht="13.2" x14ac:dyDescent="0.25">
      <c r="A41" s="18">
        <f>B56</f>
        <v>0</v>
      </c>
      <c r="C41" s="5"/>
      <c r="E41" s="5"/>
      <c r="G41" s="5"/>
      <c r="I41" s="5"/>
      <c r="K41" s="5"/>
      <c r="M41" s="5"/>
    </row>
    <row r="42" spans="1:27" ht="13.2" x14ac:dyDescent="0.25">
      <c r="A42" s="1" t="str">
        <f>$D$2</f>
        <v>Shop #2</v>
      </c>
      <c r="C42" s="5"/>
      <c r="E42" s="5"/>
      <c r="G42" s="5"/>
      <c r="I42" s="5"/>
      <c r="K42" s="5"/>
      <c r="M42" s="5"/>
    </row>
    <row r="43" spans="1:27" ht="13.2" x14ac:dyDescent="0.25">
      <c r="A43" s="18">
        <f>D56</f>
        <v>0</v>
      </c>
      <c r="C43" s="5"/>
      <c r="E43" s="5"/>
      <c r="G43" s="5"/>
      <c r="I43" s="5"/>
      <c r="K43" s="5"/>
      <c r="M43" s="5"/>
    </row>
    <row r="44" spans="1:27" ht="13.2" x14ac:dyDescent="0.25">
      <c r="A44" s="1" t="str">
        <f>$F$2</f>
        <v>Shop #3</v>
      </c>
      <c r="C44" s="5"/>
      <c r="E44" s="5"/>
      <c r="G44" s="5"/>
      <c r="I44" s="5"/>
      <c r="K44" s="5"/>
      <c r="M44" s="5"/>
    </row>
    <row r="45" spans="1:27" ht="13.2" x14ac:dyDescent="0.25">
      <c r="A45" s="18">
        <f>F56</f>
        <v>0</v>
      </c>
      <c r="C45" s="5"/>
      <c r="E45" s="5"/>
      <c r="G45" s="5"/>
      <c r="I45" s="5"/>
      <c r="K45" s="5"/>
      <c r="M45" s="5"/>
    </row>
    <row r="46" spans="1:27" ht="13.2" x14ac:dyDescent="0.25">
      <c r="A46" s="1" t="str">
        <f>$H$2</f>
        <v>Shop #4</v>
      </c>
      <c r="C46" s="5"/>
      <c r="E46" s="5"/>
      <c r="G46" s="5"/>
      <c r="I46" s="5"/>
      <c r="K46" s="5"/>
      <c r="M46" s="5"/>
    </row>
    <row r="47" spans="1:27" ht="13.2" x14ac:dyDescent="0.25">
      <c r="A47" s="18">
        <f>H56</f>
        <v>0</v>
      </c>
      <c r="C47" s="5"/>
      <c r="D47" s="17"/>
      <c r="E47" s="5"/>
      <c r="F47" s="33"/>
      <c r="G47" s="5"/>
      <c r="I47" s="5"/>
      <c r="K47" s="5"/>
      <c r="M47" s="5"/>
    </row>
    <row r="48" spans="1:27" ht="13.2" x14ac:dyDescent="0.25">
      <c r="A48" s="1" t="str">
        <f>$J$2</f>
        <v>Shop #5</v>
      </c>
      <c r="C48" s="5"/>
      <c r="E48" s="5"/>
      <c r="G48" s="5"/>
      <c r="I48" s="5"/>
      <c r="K48" s="5"/>
      <c r="M48" s="5"/>
    </row>
    <row r="49" spans="1:27" ht="13.2" x14ac:dyDescent="0.25">
      <c r="A49" s="18">
        <f>J56</f>
        <v>0</v>
      </c>
      <c r="C49" s="5"/>
      <c r="E49" s="5"/>
      <c r="G49" s="5"/>
      <c r="I49" s="5"/>
      <c r="K49" s="5"/>
      <c r="M49" s="5"/>
    </row>
    <row r="50" spans="1:27" ht="13.2" x14ac:dyDescent="0.25">
      <c r="A50" s="1" t="str">
        <f>$L$2</f>
        <v>Shop #6</v>
      </c>
      <c r="C50" s="5"/>
      <c r="E50" s="5"/>
      <c r="G50" s="5"/>
      <c r="I50" s="5"/>
      <c r="K50" s="5"/>
      <c r="M50" s="5"/>
    </row>
    <row r="51" spans="1:27" ht="13.2" x14ac:dyDescent="0.25">
      <c r="A51" s="18">
        <f>L56</f>
        <v>0</v>
      </c>
      <c r="C51" s="5"/>
      <c r="E51" s="5"/>
      <c r="G51" s="5"/>
      <c r="I51" s="5"/>
      <c r="K51" s="5"/>
      <c r="M51" s="5"/>
    </row>
    <row r="52" spans="1:27" ht="13.2" x14ac:dyDescent="0.25">
      <c r="A52" s="1" t="str">
        <f>$N$2</f>
        <v>Shop #7</v>
      </c>
      <c r="C52" s="5"/>
      <c r="E52" s="5"/>
      <c r="G52" s="5"/>
      <c r="I52" s="5"/>
      <c r="K52" s="5"/>
      <c r="M52" s="5"/>
    </row>
    <row r="53" spans="1:27" ht="13.2" x14ac:dyDescent="0.25">
      <c r="A53" s="18">
        <f>N56</f>
        <v>0</v>
      </c>
      <c r="C53" s="5"/>
      <c r="E53" s="5"/>
      <c r="G53" s="5"/>
      <c r="I53" s="5"/>
      <c r="K53" s="5"/>
      <c r="M53" s="5"/>
    </row>
    <row r="54" spans="1:27" ht="13.2" x14ac:dyDescent="0.25">
      <c r="A54" s="40">
        <f>A41+A43+A45+A47+A49+A51+A53</f>
        <v>0</v>
      </c>
      <c r="C54" s="5"/>
      <c r="E54" s="5"/>
      <c r="G54" s="5"/>
      <c r="I54" s="5"/>
      <c r="K54" s="5"/>
      <c r="M54" s="5"/>
    </row>
    <row r="55" spans="1:27" ht="13.2" x14ac:dyDescent="0.25">
      <c r="A55" s="41"/>
      <c r="C55" s="5"/>
      <c r="E55" s="5"/>
      <c r="G55" s="5"/>
      <c r="I55" s="5"/>
      <c r="K55" s="5"/>
      <c r="M55" s="5"/>
    </row>
    <row r="56" spans="1:27" ht="13.2" x14ac:dyDescent="0.25">
      <c r="A56" s="27" t="s">
        <v>69</v>
      </c>
      <c r="B56" s="28"/>
      <c r="C56" s="29"/>
      <c r="D56" s="28"/>
      <c r="E56" s="29"/>
      <c r="F56" s="28"/>
      <c r="G56" s="29"/>
      <c r="H56" s="28"/>
      <c r="I56" s="29"/>
      <c r="J56" s="28"/>
      <c r="K56" s="29"/>
      <c r="L56" s="28"/>
      <c r="M56" s="29"/>
      <c r="N56" s="28"/>
      <c r="O56" s="12"/>
      <c r="P56" s="12"/>
      <c r="Q56" s="12"/>
      <c r="R56" s="12"/>
      <c r="S56" s="12"/>
      <c r="T56" s="12"/>
      <c r="U56" s="12"/>
      <c r="V56" s="12"/>
      <c r="W56" s="12"/>
      <c r="X56" s="12"/>
      <c r="Y56" s="12"/>
      <c r="Z56" s="12"/>
      <c r="AA56" s="12"/>
    </row>
    <row r="57" spans="1:27" ht="13.2" x14ac:dyDescent="0.25">
      <c r="A57" s="7" t="s">
        <v>73</v>
      </c>
      <c r="B57" s="10"/>
      <c r="C57" s="5"/>
      <c r="D57" s="10"/>
      <c r="E57" s="5"/>
      <c r="F57" s="10"/>
      <c r="G57" s="5"/>
      <c r="H57" s="10"/>
      <c r="I57" s="5"/>
      <c r="J57" s="10"/>
      <c r="K57" s="5"/>
      <c r="L57" s="10"/>
      <c r="M57" s="5"/>
      <c r="N57" s="10"/>
      <c r="O57" s="15"/>
      <c r="P57" s="15"/>
      <c r="Q57" s="15"/>
      <c r="R57" s="15"/>
      <c r="S57" s="15"/>
      <c r="T57" s="15"/>
      <c r="U57" s="15"/>
      <c r="V57" s="15"/>
      <c r="W57" s="15"/>
      <c r="X57" s="15"/>
      <c r="Y57" s="15"/>
      <c r="Z57" s="15"/>
      <c r="AA57" s="15"/>
    </row>
    <row r="58" spans="1:27" ht="13.2" x14ac:dyDescent="0.25">
      <c r="A58" s="1" t="str">
        <f>$B$2</f>
        <v>Shop #1</v>
      </c>
      <c r="C58" s="5"/>
      <c r="E58" s="5"/>
      <c r="G58" s="5"/>
      <c r="I58" s="5"/>
      <c r="K58" s="5"/>
      <c r="M58" s="5"/>
    </row>
    <row r="59" spans="1:27" ht="13.2" x14ac:dyDescent="0.25">
      <c r="A59" s="18">
        <f>B74</f>
        <v>0</v>
      </c>
      <c r="C59" s="5"/>
      <c r="E59" s="5"/>
      <c r="G59" s="5"/>
      <c r="I59" s="5"/>
      <c r="K59" s="5"/>
      <c r="M59" s="5"/>
    </row>
    <row r="60" spans="1:27" ht="13.2" x14ac:dyDescent="0.25">
      <c r="A60" s="1" t="str">
        <f>$D$2</f>
        <v>Shop #2</v>
      </c>
      <c r="C60" s="5"/>
      <c r="E60" s="5"/>
      <c r="G60" s="5"/>
      <c r="I60" s="5"/>
      <c r="K60" s="5"/>
      <c r="M60" s="5"/>
    </row>
    <row r="61" spans="1:27" ht="13.2" x14ac:dyDescent="0.25">
      <c r="A61" s="18">
        <f>D74</f>
        <v>0</v>
      </c>
      <c r="C61" s="5"/>
      <c r="E61" s="5"/>
      <c r="G61" s="5"/>
      <c r="I61" s="5"/>
      <c r="K61" s="5"/>
      <c r="M61" s="5"/>
    </row>
    <row r="62" spans="1:27" ht="13.2" x14ac:dyDescent="0.25">
      <c r="A62" s="1" t="str">
        <f>$F$2</f>
        <v>Shop #3</v>
      </c>
      <c r="B62" s="17"/>
      <c r="C62" s="5"/>
      <c r="E62" s="5"/>
      <c r="G62" s="5"/>
      <c r="I62" s="5"/>
      <c r="K62" s="5"/>
      <c r="M62" s="5"/>
    </row>
    <row r="63" spans="1:27" ht="13.2" x14ac:dyDescent="0.25">
      <c r="A63" s="18">
        <f>F74</f>
        <v>0</v>
      </c>
      <c r="C63" s="5"/>
      <c r="E63" s="5"/>
      <c r="G63" s="5"/>
      <c r="I63" s="5"/>
      <c r="K63" s="5"/>
      <c r="M63" s="5"/>
    </row>
    <row r="64" spans="1:27" ht="13.2" x14ac:dyDescent="0.25">
      <c r="A64" s="1" t="str">
        <f>$H$2</f>
        <v>Shop #4</v>
      </c>
      <c r="B64" s="17"/>
      <c r="C64" s="5"/>
      <c r="E64" s="5"/>
      <c r="G64" s="5"/>
      <c r="I64" s="5"/>
      <c r="K64" s="5"/>
      <c r="M64" s="5"/>
    </row>
    <row r="65" spans="1:27" ht="13.2" x14ac:dyDescent="0.25">
      <c r="A65" s="18">
        <f>H74</f>
        <v>0</v>
      </c>
      <c r="C65" s="5"/>
      <c r="E65" s="5"/>
      <c r="G65" s="5"/>
      <c r="I65" s="5"/>
      <c r="K65" s="5"/>
      <c r="M65" s="5"/>
    </row>
    <row r="66" spans="1:27" ht="13.2" x14ac:dyDescent="0.25">
      <c r="A66" s="1" t="str">
        <f>$J$2</f>
        <v>Shop #5</v>
      </c>
      <c r="C66" s="5"/>
      <c r="E66" s="5"/>
      <c r="G66" s="5"/>
      <c r="I66" s="5"/>
      <c r="K66" s="5"/>
      <c r="M66" s="5"/>
    </row>
    <row r="67" spans="1:27" ht="13.2" x14ac:dyDescent="0.25">
      <c r="A67" s="18">
        <f>J74</f>
        <v>0</v>
      </c>
      <c r="C67" s="5"/>
      <c r="E67" s="5"/>
      <c r="G67" s="5"/>
      <c r="I67" s="5"/>
      <c r="K67" s="5"/>
      <c r="M67" s="5"/>
    </row>
    <row r="68" spans="1:27" ht="13.2" x14ac:dyDescent="0.25">
      <c r="A68" s="1" t="str">
        <f>$L$2</f>
        <v>Shop #6</v>
      </c>
      <c r="C68" s="5"/>
      <c r="E68" s="5"/>
      <c r="G68" s="5"/>
      <c r="I68" s="5"/>
      <c r="K68" s="5"/>
      <c r="M68" s="5"/>
    </row>
    <row r="69" spans="1:27" ht="13.2" x14ac:dyDescent="0.25">
      <c r="A69" s="18">
        <f>L74</f>
        <v>0</v>
      </c>
      <c r="B69" s="17"/>
      <c r="C69" s="5"/>
      <c r="E69" s="5"/>
      <c r="G69" s="5"/>
      <c r="I69" s="5"/>
      <c r="K69" s="5"/>
      <c r="M69" s="5"/>
    </row>
    <row r="70" spans="1:27" ht="13.2" x14ac:dyDescent="0.25">
      <c r="A70" s="1" t="str">
        <f>$N$2</f>
        <v>Shop #7</v>
      </c>
      <c r="C70" s="5"/>
      <c r="E70" s="5"/>
      <c r="G70" s="5"/>
      <c r="I70" s="5"/>
      <c r="K70" s="5"/>
      <c r="M70" s="5"/>
    </row>
    <row r="71" spans="1:27" ht="13.2" x14ac:dyDescent="0.25">
      <c r="A71" s="18">
        <f>N74</f>
        <v>0</v>
      </c>
      <c r="C71" s="5"/>
      <c r="E71" s="5"/>
      <c r="G71" s="5"/>
      <c r="I71" s="5"/>
      <c r="K71" s="5"/>
      <c r="M71" s="5"/>
    </row>
    <row r="72" spans="1:27" ht="13.2" x14ac:dyDescent="0.25">
      <c r="A72" s="40">
        <f>A59+A61+A63+A65+A67+A69+A71</f>
        <v>0</v>
      </c>
      <c r="C72" s="5"/>
      <c r="E72" s="5"/>
      <c r="G72" s="5"/>
      <c r="I72" s="5"/>
      <c r="K72" s="5"/>
      <c r="M72" s="5"/>
    </row>
    <row r="73" spans="1:27" ht="13.2" x14ac:dyDescent="0.25">
      <c r="A73" s="41"/>
      <c r="C73" s="5"/>
      <c r="E73" s="5"/>
      <c r="G73" s="5"/>
      <c r="I73" s="5"/>
      <c r="K73" s="5"/>
      <c r="M73" s="5"/>
    </row>
    <row r="74" spans="1:27" ht="13.2" x14ac:dyDescent="0.25">
      <c r="A74" s="27" t="s">
        <v>69</v>
      </c>
      <c r="B74" s="28"/>
      <c r="C74" s="29"/>
      <c r="D74" s="28"/>
      <c r="E74" s="29"/>
      <c r="F74" s="28"/>
      <c r="G74" s="29"/>
      <c r="H74" s="28"/>
      <c r="I74" s="29"/>
      <c r="J74" s="28"/>
      <c r="K74" s="29"/>
      <c r="L74" s="28"/>
      <c r="M74" s="29"/>
      <c r="N74" s="28"/>
      <c r="O74" s="12"/>
      <c r="P74" s="12"/>
      <c r="Q74" s="12"/>
      <c r="R74" s="12"/>
      <c r="S74" s="12"/>
      <c r="T74" s="12"/>
      <c r="U74" s="12"/>
      <c r="V74" s="12"/>
      <c r="W74" s="12"/>
      <c r="X74" s="12"/>
      <c r="Y74" s="12"/>
      <c r="Z74" s="12"/>
      <c r="AA74" s="12"/>
    </row>
    <row r="75" spans="1:27" ht="13.2" x14ac:dyDescent="0.25">
      <c r="A75" s="7" t="s">
        <v>73</v>
      </c>
      <c r="B75" s="10"/>
      <c r="C75" s="5"/>
      <c r="D75" s="10"/>
      <c r="E75" s="5"/>
      <c r="F75" s="10"/>
      <c r="G75" s="5"/>
      <c r="H75" s="10"/>
      <c r="I75" s="5"/>
      <c r="J75" s="10"/>
      <c r="K75" s="5"/>
      <c r="L75" s="10"/>
      <c r="M75" s="5"/>
      <c r="N75" s="10"/>
      <c r="O75" s="15"/>
      <c r="P75" s="15"/>
      <c r="Q75" s="15"/>
      <c r="R75" s="15"/>
      <c r="S75" s="15"/>
      <c r="T75" s="15"/>
      <c r="U75" s="15"/>
      <c r="V75" s="15"/>
      <c r="W75" s="15"/>
      <c r="X75" s="15"/>
      <c r="Y75" s="15"/>
      <c r="Z75" s="15"/>
      <c r="AA75" s="15"/>
    </row>
    <row r="76" spans="1:27" ht="13.2" x14ac:dyDescent="0.25">
      <c r="A76" s="1" t="str">
        <f>$B$2</f>
        <v>Shop #1</v>
      </c>
      <c r="B76" s="17"/>
      <c r="C76" s="5"/>
      <c r="E76" s="5"/>
      <c r="G76" s="5"/>
      <c r="I76" s="5"/>
      <c r="K76" s="5"/>
      <c r="M76" s="5"/>
    </row>
    <row r="77" spans="1:27" ht="13.2" x14ac:dyDescent="0.25">
      <c r="A77" s="18">
        <f>B92</f>
        <v>0</v>
      </c>
      <c r="C77" s="5"/>
      <c r="E77" s="5"/>
      <c r="G77" s="5"/>
      <c r="I77" s="5"/>
      <c r="K77" s="5"/>
      <c r="M77" s="5"/>
    </row>
    <row r="78" spans="1:27" ht="13.2" x14ac:dyDescent="0.25">
      <c r="A78" s="1" t="str">
        <f>$D$2</f>
        <v>Shop #2</v>
      </c>
      <c r="C78" s="5"/>
      <c r="E78" s="5"/>
      <c r="G78" s="5"/>
      <c r="I78" s="5"/>
      <c r="K78" s="5"/>
      <c r="M78" s="5"/>
    </row>
    <row r="79" spans="1:27" ht="13.2" x14ac:dyDescent="0.25">
      <c r="A79" s="18">
        <f>D92</f>
        <v>0</v>
      </c>
      <c r="C79" s="5"/>
      <c r="E79" s="5"/>
      <c r="G79" s="5"/>
      <c r="I79" s="5"/>
      <c r="K79" s="5"/>
      <c r="M79" s="5"/>
    </row>
    <row r="80" spans="1:27" ht="13.2" x14ac:dyDescent="0.25">
      <c r="A80" s="1" t="str">
        <f>$F$2</f>
        <v>Shop #3</v>
      </c>
      <c r="C80" s="5"/>
      <c r="E80" s="5"/>
      <c r="G80" s="5"/>
      <c r="I80" s="5"/>
      <c r="K80" s="5"/>
      <c r="M80" s="5"/>
    </row>
    <row r="81" spans="1:27" ht="13.2" x14ac:dyDescent="0.25">
      <c r="A81" s="18">
        <f>F92</f>
        <v>0</v>
      </c>
      <c r="C81" s="5"/>
      <c r="E81" s="5"/>
      <c r="G81" s="5"/>
      <c r="I81" s="5"/>
      <c r="K81" s="5"/>
      <c r="M81" s="5"/>
    </row>
    <row r="82" spans="1:27" ht="13.2" x14ac:dyDescent="0.25">
      <c r="A82" s="1" t="str">
        <f>$H$2</f>
        <v>Shop #4</v>
      </c>
      <c r="C82" s="5"/>
      <c r="E82" s="5"/>
      <c r="G82" s="5"/>
      <c r="I82" s="5"/>
      <c r="K82" s="5"/>
      <c r="M82" s="5"/>
    </row>
    <row r="83" spans="1:27" ht="13.2" x14ac:dyDescent="0.25">
      <c r="A83" s="18">
        <f>H92</f>
        <v>0</v>
      </c>
      <c r="C83" s="5"/>
      <c r="E83" s="5"/>
      <c r="G83" s="5"/>
      <c r="I83" s="5"/>
      <c r="K83" s="5"/>
      <c r="M83" s="5"/>
    </row>
    <row r="84" spans="1:27" ht="13.2" x14ac:dyDescent="0.25">
      <c r="A84" s="1" t="str">
        <f>$J$2</f>
        <v>Shop #5</v>
      </c>
      <c r="C84" s="5"/>
      <c r="E84" s="5"/>
      <c r="G84" s="5"/>
      <c r="I84" s="5"/>
      <c r="K84" s="5"/>
      <c r="M84" s="5"/>
    </row>
    <row r="85" spans="1:27" ht="13.2" x14ac:dyDescent="0.25">
      <c r="A85" s="18">
        <f>J92</f>
        <v>0</v>
      </c>
      <c r="C85" s="5"/>
      <c r="E85" s="5"/>
      <c r="G85" s="5"/>
      <c r="I85" s="5"/>
      <c r="K85" s="5"/>
      <c r="M85" s="5"/>
    </row>
    <row r="86" spans="1:27" ht="13.2" x14ac:dyDescent="0.25">
      <c r="A86" s="1" t="str">
        <f>$L$2</f>
        <v>Shop #6</v>
      </c>
      <c r="C86" s="5"/>
      <c r="E86" s="5"/>
      <c r="G86" s="5"/>
      <c r="I86" s="5"/>
      <c r="K86" s="5"/>
      <c r="M86" s="5"/>
    </row>
    <row r="87" spans="1:27" ht="13.2" x14ac:dyDescent="0.25">
      <c r="A87" s="18">
        <f>L92</f>
        <v>0</v>
      </c>
      <c r="C87" s="5"/>
      <c r="E87" s="5"/>
      <c r="G87" s="5"/>
      <c r="I87" s="5"/>
      <c r="K87" s="5"/>
      <c r="M87" s="5"/>
    </row>
    <row r="88" spans="1:27" ht="13.2" x14ac:dyDescent="0.25">
      <c r="A88" s="1" t="str">
        <f>$N$2</f>
        <v>Shop #7</v>
      </c>
      <c r="C88" s="5"/>
      <c r="E88" s="5"/>
      <c r="G88" s="5"/>
      <c r="I88" s="5"/>
      <c r="K88" s="5"/>
      <c r="M88" s="5"/>
    </row>
    <row r="89" spans="1:27" ht="13.2" x14ac:dyDescent="0.25">
      <c r="A89" s="18">
        <f>N92</f>
        <v>0</v>
      </c>
      <c r="C89" s="5"/>
      <c r="E89" s="5"/>
      <c r="G89" s="5"/>
      <c r="I89" s="5"/>
      <c r="K89" s="5"/>
      <c r="M89" s="5"/>
    </row>
    <row r="90" spans="1:27" ht="13.2" x14ac:dyDescent="0.25">
      <c r="A90" s="40">
        <f>A77+A79+A81+A83+A85+A87+A89</f>
        <v>0</v>
      </c>
      <c r="C90" s="5"/>
      <c r="E90" s="5"/>
      <c r="G90" s="5"/>
      <c r="I90" s="5"/>
      <c r="K90" s="5"/>
      <c r="M90" s="5"/>
    </row>
    <row r="91" spans="1:27" ht="13.2" x14ac:dyDescent="0.25">
      <c r="A91" s="41"/>
      <c r="C91" s="5"/>
      <c r="E91" s="5"/>
      <c r="G91" s="5"/>
      <c r="I91" s="5"/>
      <c r="K91" s="5"/>
      <c r="M91" s="5"/>
    </row>
    <row r="92" spans="1:27" ht="13.2" x14ac:dyDescent="0.25">
      <c r="A92" s="27" t="s">
        <v>69</v>
      </c>
      <c r="B92" s="28"/>
      <c r="C92" s="29"/>
      <c r="D92" s="28"/>
      <c r="E92" s="29"/>
      <c r="F92" s="28"/>
      <c r="G92" s="29"/>
      <c r="H92" s="28"/>
      <c r="I92" s="29"/>
      <c r="J92" s="28"/>
      <c r="K92" s="29"/>
      <c r="L92" s="28"/>
      <c r="M92" s="29"/>
      <c r="N92" s="28"/>
      <c r="O92" s="12"/>
      <c r="P92" s="12"/>
      <c r="Q92" s="12"/>
      <c r="R92" s="12"/>
      <c r="S92" s="12"/>
      <c r="T92" s="12"/>
      <c r="U92" s="12"/>
      <c r="V92" s="12"/>
      <c r="W92" s="12"/>
      <c r="X92" s="12"/>
      <c r="Y92" s="12"/>
      <c r="Z92" s="12"/>
      <c r="AA92" s="12"/>
    </row>
    <row r="93" spans="1:27" ht="13.2" x14ac:dyDescent="0.25">
      <c r="A93" s="7" t="s">
        <v>73</v>
      </c>
      <c r="B93" s="10"/>
      <c r="C93" s="5"/>
      <c r="D93" s="10"/>
      <c r="E93" s="5"/>
      <c r="F93" s="10"/>
      <c r="G93" s="5"/>
      <c r="H93" s="10"/>
      <c r="I93" s="5"/>
      <c r="J93" s="10"/>
      <c r="K93" s="5"/>
      <c r="L93" s="10"/>
      <c r="M93" s="5"/>
      <c r="N93" s="10"/>
      <c r="O93" s="15"/>
      <c r="P93" s="15"/>
      <c r="Q93" s="15"/>
      <c r="R93" s="15"/>
      <c r="S93" s="15"/>
      <c r="T93" s="15"/>
      <c r="U93" s="15"/>
      <c r="V93" s="15"/>
      <c r="W93" s="15"/>
      <c r="X93" s="15"/>
      <c r="Y93" s="15"/>
      <c r="Z93" s="15"/>
      <c r="AA93" s="15"/>
    </row>
    <row r="94" spans="1:27" ht="13.2" x14ac:dyDescent="0.25">
      <c r="A94" s="1" t="str">
        <f>$B$2</f>
        <v>Shop #1</v>
      </c>
      <c r="C94" s="5"/>
      <c r="E94" s="5"/>
      <c r="G94" s="5"/>
      <c r="I94" s="5"/>
      <c r="K94" s="5"/>
      <c r="M94" s="5"/>
    </row>
    <row r="95" spans="1:27" ht="13.2" x14ac:dyDescent="0.25">
      <c r="A95" s="18">
        <f>B110</f>
        <v>0</v>
      </c>
      <c r="C95" s="5"/>
      <c r="E95" s="5"/>
      <c r="G95" s="5"/>
      <c r="I95" s="5"/>
      <c r="K95" s="5"/>
      <c r="M95" s="5"/>
    </row>
    <row r="96" spans="1:27" ht="13.2" x14ac:dyDescent="0.25">
      <c r="A96" s="1" t="str">
        <f>$D$2</f>
        <v>Shop #2</v>
      </c>
      <c r="C96" s="5"/>
      <c r="E96" s="5"/>
      <c r="G96" s="5"/>
      <c r="I96" s="5"/>
      <c r="K96" s="5"/>
      <c r="M96" s="5"/>
    </row>
    <row r="97" spans="1:27" ht="13.2" x14ac:dyDescent="0.25">
      <c r="A97" s="18">
        <f>D110</f>
        <v>0</v>
      </c>
      <c r="C97" s="5"/>
      <c r="E97" s="5"/>
      <c r="G97" s="5"/>
      <c r="I97" s="5"/>
      <c r="K97" s="5"/>
      <c r="M97" s="5"/>
    </row>
    <row r="98" spans="1:27" ht="13.2" x14ac:dyDescent="0.25">
      <c r="A98" s="1" t="str">
        <f>$F$2</f>
        <v>Shop #3</v>
      </c>
      <c r="C98" s="5"/>
      <c r="E98" s="5"/>
      <c r="G98" s="5"/>
      <c r="I98" s="5"/>
      <c r="K98" s="5"/>
      <c r="M98" s="5"/>
    </row>
    <row r="99" spans="1:27" ht="13.2" x14ac:dyDescent="0.25">
      <c r="A99" s="18">
        <f>F110</f>
        <v>0</v>
      </c>
      <c r="C99" s="5"/>
      <c r="E99" s="5"/>
      <c r="G99" s="5"/>
      <c r="I99" s="5"/>
      <c r="K99" s="5"/>
      <c r="M99" s="5"/>
    </row>
    <row r="100" spans="1:27" ht="13.2" x14ac:dyDescent="0.25">
      <c r="A100" s="1" t="str">
        <f>$H$2</f>
        <v>Shop #4</v>
      </c>
      <c r="C100" s="5"/>
      <c r="E100" s="5"/>
      <c r="G100" s="5"/>
      <c r="I100" s="5"/>
      <c r="K100" s="5"/>
      <c r="M100" s="5"/>
    </row>
    <row r="101" spans="1:27" ht="13.2" x14ac:dyDescent="0.25">
      <c r="A101" s="18">
        <f>H110</f>
        <v>0</v>
      </c>
      <c r="C101" s="5"/>
      <c r="E101" s="5"/>
      <c r="G101" s="5"/>
      <c r="I101" s="5"/>
      <c r="K101" s="5"/>
      <c r="M101" s="5"/>
    </row>
    <row r="102" spans="1:27" ht="13.2" x14ac:dyDescent="0.25">
      <c r="A102" s="1" t="str">
        <f>$J$2</f>
        <v>Shop #5</v>
      </c>
      <c r="C102" s="5"/>
      <c r="E102" s="5"/>
      <c r="G102" s="5"/>
      <c r="I102" s="5"/>
      <c r="K102" s="5"/>
      <c r="M102" s="5"/>
    </row>
    <row r="103" spans="1:27" ht="13.2" x14ac:dyDescent="0.25">
      <c r="A103" s="18">
        <f>J110</f>
        <v>0</v>
      </c>
      <c r="C103" s="5"/>
      <c r="E103" s="5"/>
      <c r="G103" s="5"/>
      <c r="I103" s="5"/>
      <c r="K103" s="5"/>
      <c r="M103" s="5"/>
    </row>
    <row r="104" spans="1:27" ht="13.2" x14ac:dyDescent="0.25">
      <c r="A104" s="1" t="str">
        <f>$L$2</f>
        <v>Shop #6</v>
      </c>
      <c r="C104" s="5"/>
      <c r="E104" s="5"/>
      <c r="G104" s="5"/>
      <c r="I104" s="5"/>
      <c r="K104" s="5"/>
      <c r="M104" s="5"/>
    </row>
    <row r="105" spans="1:27" ht="13.2" x14ac:dyDescent="0.25">
      <c r="A105" s="18">
        <f>L110</f>
        <v>0</v>
      </c>
      <c r="C105" s="5"/>
      <c r="E105" s="5"/>
      <c r="G105" s="5"/>
      <c r="I105" s="5"/>
      <c r="K105" s="5"/>
      <c r="M105" s="5"/>
    </row>
    <row r="106" spans="1:27" ht="13.2" x14ac:dyDescent="0.25">
      <c r="A106" s="1" t="str">
        <f>$N$2</f>
        <v>Shop #7</v>
      </c>
      <c r="C106" s="5"/>
      <c r="E106" s="5"/>
      <c r="G106" s="5"/>
      <c r="I106" s="5"/>
      <c r="K106" s="5"/>
      <c r="M106" s="5"/>
    </row>
    <row r="107" spans="1:27" ht="13.2" x14ac:dyDescent="0.25">
      <c r="A107" s="18">
        <f>N110</f>
        <v>0</v>
      </c>
      <c r="C107" s="5"/>
      <c r="E107" s="5"/>
      <c r="G107" s="5"/>
      <c r="I107" s="5"/>
      <c r="K107" s="5"/>
      <c r="M107" s="5"/>
    </row>
    <row r="108" spans="1:27" ht="13.2" x14ac:dyDescent="0.25">
      <c r="A108" s="40">
        <f>A95+A97+A99+A101+A103+A105+A107</f>
        <v>0</v>
      </c>
      <c r="C108" s="5"/>
      <c r="E108" s="5"/>
      <c r="G108" s="5"/>
      <c r="I108" s="5"/>
      <c r="K108" s="5"/>
      <c r="M108" s="5"/>
    </row>
    <row r="109" spans="1:27" ht="13.2" x14ac:dyDescent="0.25">
      <c r="A109" s="41"/>
      <c r="C109" s="5"/>
      <c r="E109" s="5"/>
      <c r="G109" s="5"/>
      <c r="I109" s="5"/>
      <c r="K109" s="5"/>
      <c r="M109" s="5"/>
    </row>
    <row r="110" spans="1:27" ht="13.2" x14ac:dyDescent="0.25">
      <c r="A110" s="27" t="s">
        <v>69</v>
      </c>
      <c r="B110" s="28"/>
      <c r="C110" s="29"/>
      <c r="D110" s="28"/>
      <c r="E110" s="29"/>
      <c r="F110" s="28"/>
      <c r="G110" s="29"/>
      <c r="H110" s="28"/>
      <c r="I110" s="29"/>
      <c r="J110" s="28"/>
      <c r="K110" s="29"/>
      <c r="L110" s="28"/>
      <c r="M110" s="29"/>
      <c r="N110" s="28"/>
      <c r="O110" s="12"/>
      <c r="P110" s="12"/>
      <c r="Q110" s="12"/>
      <c r="R110" s="12"/>
      <c r="S110" s="12"/>
      <c r="T110" s="12"/>
      <c r="U110" s="12"/>
      <c r="V110" s="12"/>
      <c r="W110" s="12"/>
      <c r="X110" s="12"/>
      <c r="Y110" s="12"/>
      <c r="Z110" s="12"/>
      <c r="AA110" s="12"/>
    </row>
    <row r="111" spans="1:27" ht="13.2" x14ac:dyDescent="0.25">
      <c r="A111" s="7" t="s">
        <v>73</v>
      </c>
      <c r="B111" s="10"/>
      <c r="C111" s="5"/>
      <c r="D111" s="10"/>
      <c r="E111" s="5"/>
      <c r="F111" s="10"/>
      <c r="G111" s="5"/>
      <c r="H111" s="10"/>
      <c r="I111" s="5"/>
      <c r="J111" s="10"/>
      <c r="K111" s="5"/>
      <c r="L111" s="10"/>
      <c r="M111" s="5"/>
      <c r="N111" s="10"/>
      <c r="O111" s="15"/>
      <c r="P111" s="15"/>
      <c r="Q111" s="15"/>
      <c r="R111" s="15"/>
      <c r="S111" s="15"/>
      <c r="T111" s="15"/>
      <c r="U111" s="15"/>
      <c r="V111" s="15"/>
      <c r="W111" s="15"/>
      <c r="X111" s="15"/>
      <c r="Y111" s="15"/>
      <c r="Z111" s="15"/>
      <c r="AA111" s="15"/>
    </row>
    <row r="112" spans="1:27" ht="13.2" x14ac:dyDescent="0.25">
      <c r="A112" s="1" t="str">
        <f>$B$2</f>
        <v>Shop #1</v>
      </c>
      <c r="C112" s="5"/>
      <c r="E112" s="5"/>
      <c r="G112" s="5"/>
      <c r="I112" s="5"/>
      <c r="K112" s="5"/>
      <c r="M112" s="5"/>
    </row>
    <row r="113" spans="1:27" ht="13.2" x14ac:dyDescent="0.25">
      <c r="A113" s="18">
        <f>B128</f>
        <v>0</v>
      </c>
      <c r="C113" s="5"/>
      <c r="E113" s="5"/>
      <c r="G113" s="5"/>
      <c r="I113" s="5"/>
      <c r="K113" s="5"/>
      <c r="M113" s="5"/>
    </row>
    <row r="114" spans="1:27" ht="13.2" x14ac:dyDescent="0.25">
      <c r="A114" s="1" t="str">
        <f>$D$2</f>
        <v>Shop #2</v>
      </c>
      <c r="C114" s="5"/>
      <c r="E114" s="5"/>
      <c r="G114" s="5"/>
      <c r="I114" s="5"/>
      <c r="K114" s="5"/>
      <c r="M114" s="5"/>
    </row>
    <row r="115" spans="1:27" ht="13.2" x14ac:dyDescent="0.25">
      <c r="A115" s="18">
        <f>D128</f>
        <v>0</v>
      </c>
      <c r="C115" s="5"/>
      <c r="E115" s="5"/>
      <c r="G115" s="5"/>
      <c r="I115" s="5"/>
      <c r="K115" s="5"/>
      <c r="M115" s="5"/>
    </row>
    <row r="116" spans="1:27" ht="13.2" x14ac:dyDescent="0.25">
      <c r="A116" s="1" t="str">
        <f>$F$2</f>
        <v>Shop #3</v>
      </c>
      <c r="C116" s="5"/>
      <c r="E116" s="5"/>
      <c r="G116" s="5"/>
      <c r="I116" s="5"/>
      <c r="K116" s="5"/>
      <c r="M116" s="5"/>
    </row>
    <row r="117" spans="1:27" ht="13.2" x14ac:dyDescent="0.25">
      <c r="A117" s="18">
        <f>F128</f>
        <v>0</v>
      </c>
      <c r="C117" s="5"/>
      <c r="E117" s="5"/>
      <c r="G117" s="5"/>
      <c r="I117" s="5"/>
      <c r="K117" s="5"/>
      <c r="M117" s="5"/>
    </row>
    <row r="118" spans="1:27" ht="13.2" x14ac:dyDescent="0.25">
      <c r="A118" s="1" t="str">
        <f>$H$2</f>
        <v>Shop #4</v>
      </c>
      <c r="C118" s="5"/>
      <c r="E118" s="5"/>
      <c r="G118" s="5"/>
      <c r="I118" s="5"/>
      <c r="K118" s="5"/>
      <c r="M118" s="5"/>
    </row>
    <row r="119" spans="1:27" ht="13.2" x14ac:dyDescent="0.25">
      <c r="A119" s="18">
        <f>H128</f>
        <v>0</v>
      </c>
      <c r="B119" s="17"/>
      <c r="C119" s="5"/>
      <c r="E119" s="5"/>
      <c r="G119" s="5"/>
      <c r="I119" s="5"/>
      <c r="K119" s="5"/>
      <c r="M119" s="5"/>
    </row>
    <row r="120" spans="1:27" ht="13.2" x14ac:dyDescent="0.25">
      <c r="A120" s="1" t="str">
        <f>$J$2</f>
        <v>Shop #5</v>
      </c>
      <c r="C120" s="5"/>
      <c r="E120" s="5"/>
      <c r="G120" s="5"/>
      <c r="I120" s="5"/>
      <c r="K120" s="5"/>
      <c r="M120" s="5"/>
    </row>
    <row r="121" spans="1:27" ht="13.2" x14ac:dyDescent="0.25">
      <c r="A121" s="18">
        <f>J128</f>
        <v>0</v>
      </c>
      <c r="C121" s="5"/>
      <c r="E121" s="5"/>
      <c r="G121" s="5"/>
      <c r="I121" s="5"/>
      <c r="K121" s="5"/>
      <c r="M121" s="5"/>
    </row>
    <row r="122" spans="1:27" ht="13.2" x14ac:dyDescent="0.25">
      <c r="A122" s="1" t="str">
        <f>$L$2</f>
        <v>Shop #6</v>
      </c>
      <c r="C122" s="5"/>
      <c r="E122" s="5"/>
      <c r="G122" s="5"/>
      <c r="I122" s="5"/>
      <c r="K122" s="5"/>
      <c r="M122" s="5"/>
    </row>
    <row r="123" spans="1:27" ht="13.2" x14ac:dyDescent="0.25">
      <c r="A123" s="18">
        <f>L128</f>
        <v>0</v>
      </c>
      <c r="C123" s="5"/>
      <c r="E123" s="5"/>
      <c r="G123" s="5"/>
      <c r="I123" s="5"/>
      <c r="K123" s="5"/>
      <c r="M123" s="5"/>
    </row>
    <row r="124" spans="1:27" ht="13.2" x14ac:dyDescent="0.25">
      <c r="A124" s="1" t="str">
        <f>$N$2</f>
        <v>Shop #7</v>
      </c>
      <c r="C124" s="5"/>
      <c r="E124" s="5"/>
      <c r="G124" s="5"/>
      <c r="I124" s="5"/>
      <c r="K124" s="5"/>
      <c r="M124" s="5"/>
    </row>
    <row r="125" spans="1:27" ht="13.2" x14ac:dyDescent="0.25">
      <c r="A125" s="18">
        <f>N128</f>
        <v>0</v>
      </c>
      <c r="C125" s="5"/>
      <c r="E125" s="5"/>
      <c r="G125" s="5"/>
      <c r="I125" s="5"/>
      <c r="K125" s="5"/>
      <c r="M125" s="5"/>
    </row>
    <row r="126" spans="1:27" ht="13.2" x14ac:dyDescent="0.25">
      <c r="A126" s="40">
        <f>A113+A115+A117+A119+A121+A123+A125</f>
        <v>0</v>
      </c>
      <c r="C126" s="5"/>
      <c r="E126" s="5"/>
      <c r="G126" s="5"/>
      <c r="I126" s="5"/>
      <c r="K126" s="5"/>
      <c r="M126" s="5"/>
    </row>
    <row r="127" spans="1:27" ht="13.2" x14ac:dyDescent="0.25">
      <c r="A127" s="41"/>
      <c r="C127" s="5"/>
      <c r="E127" s="5"/>
      <c r="G127" s="5"/>
      <c r="I127" s="5"/>
      <c r="K127" s="5"/>
      <c r="M127" s="5"/>
    </row>
    <row r="128" spans="1:27" ht="13.2" x14ac:dyDescent="0.25">
      <c r="A128" s="27" t="s">
        <v>69</v>
      </c>
      <c r="B128" s="28"/>
      <c r="C128" s="29"/>
      <c r="D128" s="28"/>
      <c r="E128" s="29"/>
      <c r="F128" s="28"/>
      <c r="G128" s="29"/>
      <c r="H128" s="28"/>
      <c r="I128" s="29"/>
      <c r="J128" s="28"/>
      <c r="K128" s="29"/>
      <c r="L128" s="28"/>
      <c r="M128" s="29"/>
      <c r="N128" s="28"/>
      <c r="O128" s="12"/>
      <c r="P128" s="12"/>
      <c r="Q128" s="12"/>
      <c r="R128" s="12"/>
      <c r="S128" s="12"/>
      <c r="T128" s="12"/>
      <c r="U128" s="12"/>
      <c r="V128" s="12"/>
      <c r="W128" s="12"/>
      <c r="X128" s="12"/>
      <c r="Y128" s="12"/>
      <c r="Z128" s="12"/>
      <c r="AA128" s="12"/>
    </row>
    <row r="129" spans="1:27" ht="13.2" x14ac:dyDescent="0.25">
      <c r="A129" s="7" t="s">
        <v>73</v>
      </c>
      <c r="B129" s="10"/>
      <c r="C129" s="5"/>
      <c r="D129" s="10"/>
      <c r="E129" s="5"/>
      <c r="F129" s="10"/>
      <c r="G129" s="5"/>
      <c r="H129" s="10"/>
      <c r="I129" s="5"/>
      <c r="J129" s="10"/>
      <c r="K129" s="5"/>
      <c r="L129" s="10"/>
      <c r="M129" s="5"/>
      <c r="N129" s="10"/>
      <c r="O129" s="15"/>
      <c r="P129" s="15"/>
      <c r="Q129" s="15"/>
      <c r="R129" s="15"/>
      <c r="S129" s="15"/>
      <c r="T129" s="15"/>
      <c r="U129" s="15"/>
      <c r="V129" s="15"/>
      <c r="W129" s="15"/>
      <c r="X129" s="15"/>
      <c r="Y129" s="15"/>
      <c r="Z129" s="15"/>
      <c r="AA129" s="15"/>
    </row>
    <row r="130" spans="1:27" ht="13.2" x14ac:dyDescent="0.25">
      <c r="A130" s="1" t="str">
        <f>$B$2</f>
        <v>Shop #1</v>
      </c>
      <c r="C130" s="5"/>
      <c r="E130" s="5"/>
      <c r="G130" s="5"/>
      <c r="I130" s="5"/>
      <c r="K130" s="5"/>
      <c r="M130" s="5"/>
    </row>
    <row r="131" spans="1:27" ht="13.2" x14ac:dyDescent="0.25">
      <c r="A131" s="18">
        <f>B146</f>
        <v>0</v>
      </c>
      <c r="C131" s="5"/>
      <c r="E131" s="5"/>
      <c r="G131" s="5"/>
      <c r="I131" s="5"/>
      <c r="K131" s="5"/>
      <c r="M131" s="5"/>
    </row>
    <row r="132" spans="1:27" ht="13.2" x14ac:dyDescent="0.25">
      <c r="A132" s="1" t="str">
        <f>$D$2</f>
        <v>Shop #2</v>
      </c>
      <c r="C132" s="5"/>
      <c r="E132" s="5"/>
      <c r="G132" s="5"/>
      <c r="I132" s="5"/>
      <c r="K132" s="5"/>
      <c r="M132" s="5"/>
    </row>
    <row r="133" spans="1:27" ht="13.2" x14ac:dyDescent="0.25">
      <c r="A133" s="18">
        <f>D146</f>
        <v>0</v>
      </c>
      <c r="C133" s="5"/>
      <c r="E133" s="5"/>
      <c r="G133" s="5"/>
      <c r="I133" s="5"/>
      <c r="K133" s="5"/>
      <c r="M133" s="5"/>
    </row>
    <row r="134" spans="1:27" ht="13.2" x14ac:dyDescent="0.25">
      <c r="A134" s="1" t="str">
        <f>$F$2</f>
        <v>Shop #3</v>
      </c>
      <c r="C134" s="5"/>
      <c r="E134" s="5"/>
      <c r="G134" s="5"/>
      <c r="I134" s="5"/>
      <c r="K134" s="5"/>
      <c r="M134" s="5"/>
    </row>
    <row r="135" spans="1:27" ht="13.2" x14ac:dyDescent="0.25">
      <c r="A135" s="18">
        <f>F146</f>
        <v>0</v>
      </c>
      <c r="C135" s="5"/>
      <c r="E135" s="5"/>
      <c r="G135" s="5"/>
      <c r="I135" s="5"/>
      <c r="K135" s="5"/>
      <c r="M135" s="5"/>
    </row>
    <row r="136" spans="1:27" ht="13.2" x14ac:dyDescent="0.25">
      <c r="A136" s="1" t="str">
        <f>$H$2</f>
        <v>Shop #4</v>
      </c>
      <c r="C136" s="5"/>
      <c r="E136" s="5"/>
      <c r="G136" s="5"/>
      <c r="I136" s="5"/>
      <c r="K136" s="5"/>
      <c r="M136" s="5"/>
    </row>
    <row r="137" spans="1:27" ht="13.2" x14ac:dyDescent="0.25">
      <c r="A137" s="18">
        <f>H146</f>
        <v>0</v>
      </c>
      <c r="C137" s="5"/>
      <c r="E137" s="5"/>
      <c r="G137" s="5"/>
      <c r="I137" s="5"/>
      <c r="K137" s="5"/>
      <c r="M137" s="5"/>
    </row>
    <row r="138" spans="1:27" ht="13.2" x14ac:dyDescent="0.25">
      <c r="A138" s="1" t="str">
        <f>$J$2</f>
        <v>Shop #5</v>
      </c>
      <c r="C138" s="5"/>
      <c r="E138" s="5"/>
      <c r="G138" s="5"/>
      <c r="I138" s="5"/>
      <c r="K138" s="5"/>
      <c r="M138" s="5"/>
    </row>
    <row r="139" spans="1:27" ht="13.2" x14ac:dyDescent="0.25">
      <c r="A139" s="18">
        <f>J146</f>
        <v>0</v>
      </c>
      <c r="C139" s="5"/>
      <c r="E139" s="5"/>
      <c r="G139" s="5"/>
      <c r="I139" s="5"/>
      <c r="K139" s="5"/>
      <c r="M139" s="5"/>
    </row>
    <row r="140" spans="1:27" ht="13.2" x14ac:dyDescent="0.25">
      <c r="A140" s="1" t="str">
        <f>$L$2</f>
        <v>Shop #6</v>
      </c>
      <c r="C140" s="5"/>
      <c r="E140" s="5"/>
      <c r="G140" s="5"/>
      <c r="I140" s="5"/>
      <c r="K140" s="5"/>
      <c r="M140" s="5"/>
    </row>
    <row r="141" spans="1:27" ht="13.2" x14ac:dyDescent="0.25">
      <c r="A141" s="18">
        <f>L146</f>
        <v>0</v>
      </c>
      <c r="C141" s="5"/>
      <c r="E141" s="5"/>
      <c r="G141" s="5"/>
      <c r="I141" s="5"/>
      <c r="K141" s="5"/>
      <c r="M141" s="5"/>
    </row>
    <row r="142" spans="1:27" ht="13.2" x14ac:dyDescent="0.25">
      <c r="A142" s="1" t="str">
        <f>$N$2</f>
        <v>Shop #7</v>
      </c>
      <c r="C142" s="5"/>
      <c r="E142" s="5"/>
      <c r="G142" s="5"/>
      <c r="I142" s="5"/>
      <c r="K142" s="5"/>
      <c r="M142" s="5"/>
    </row>
    <row r="143" spans="1:27" ht="13.2" x14ac:dyDescent="0.25">
      <c r="A143" s="18">
        <f>N146</f>
        <v>0</v>
      </c>
      <c r="C143" s="5"/>
      <c r="E143" s="5"/>
      <c r="G143" s="5"/>
      <c r="I143" s="5"/>
      <c r="K143" s="5"/>
      <c r="M143" s="5"/>
    </row>
    <row r="144" spans="1:27" ht="13.2" x14ac:dyDescent="0.25">
      <c r="A144" s="40">
        <f>A131+A133+A135+A137+A139+A141+A143</f>
        <v>0</v>
      </c>
      <c r="C144" s="5"/>
      <c r="E144" s="5"/>
      <c r="G144" s="5"/>
      <c r="I144" s="5"/>
      <c r="K144" s="5"/>
      <c r="M144" s="5"/>
    </row>
    <row r="145" spans="1:27" ht="13.2" x14ac:dyDescent="0.25">
      <c r="A145" s="41"/>
      <c r="C145" s="5"/>
      <c r="E145" s="5"/>
      <c r="G145" s="5"/>
      <c r="I145" s="5"/>
      <c r="K145" s="5"/>
      <c r="M145" s="5"/>
    </row>
    <row r="146" spans="1:27" ht="13.2" x14ac:dyDescent="0.25">
      <c r="A146" s="27" t="s">
        <v>69</v>
      </c>
      <c r="B146" s="28"/>
      <c r="C146" s="29"/>
      <c r="D146" s="28"/>
      <c r="E146" s="29"/>
      <c r="F146" s="28"/>
      <c r="G146" s="29"/>
      <c r="H146" s="28"/>
      <c r="I146" s="29"/>
      <c r="J146" s="28"/>
      <c r="K146" s="29"/>
      <c r="L146" s="28"/>
      <c r="M146" s="29"/>
      <c r="N146" s="28"/>
      <c r="O146" s="12"/>
      <c r="P146" s="12"/>
      <c r="Q146" s="12"/>
      <c r="R146" s="12"/>
      <c r="S146" s="12"/>
      <c r="T146" s="12"/>
      <c r="U146" s="12"/>
      <c r="V146" s="12"/>
      <c r="W146" s="12"/>
      <c r="X146" s="12"/>
      <c r="Y146" s="12"/>
      <c r="Z146" s="12"/>
      <c r="AA146" s="12"/>
    </row>
    <row r="147" spans="1:27" ht="13.2" x14ac:dyDescent="0.25">
      <c r="A147" s="34" t="s">
        <v>80</v>
      </c>
      <c r="B147" s="35"/>
      <c r="C147" s="36"/>
      <c r="D147" s="35"/>
      <c r="E147" s="36"/>
      <c r="F147" s="35"/>
      <c r="G147" s="36"/>
      <c r="H147" s="35"/>
      <c r="I147" s="36"/>
      <c r="J147" s="35"/>
      <c r="K147" s="36"/>
      <c r="L147" s="35"/>
      <c r="M147" s="36"/>
      <c r="N147" s="35"/>
      <c r="O147" s="12"/>
      <c r="P147" s="12"/>
      <c r="Q147" s="12"/>
      <c r="R147" s="12"/>
      <c r="S147" s="12"/>
      <c r="T147" s="12"/>
      <c r="U147" s="12"/>
      <c r="V147" s="12"/>
      <c r="W147" s="12"/>
      <c r="X147" s="12"/>
      <c r="Y147" s="12"/>
      <c r="Z147" s="12"/>
      <c r="AA147" s="12"/>
    </row>
    <row r="148" spans="1:27" ht="13.2" x14ac:dyDescent="0.25">
      <c r="A148" s="37">
        <f>A18+A36+A54+A72+A90+A108+A126+A144</f>
        <v>319</v>
      </c>
      <c r="B148" s="35"/>
      <c r="C148" s="36"/>
      <c r="D148" s="35"/>
      <c r="E148" s="36"/>
      <c r="F148" s="35"/>
      <c r="G148" s="36"/>
      <c r="H148" s="35"/>
      <c r="I148" s="36"/>
      <c r="J148" s="35"/>
      <c r="K148" s="36"/>
      <c r="L148" s="35"/>
      <c r="M148" s="36"/>
      <c r="N148" s="35"/>
      <c r="O148" s="12"/>
      <c r="P148" s="12"/>
      <c r="Q148" s="12"/>
      <c r="R148" s="12"/>
      <c r="S148" s="12"/>
      <c r="T148" s="12"/>
      <c r="U148" s="12"/>
      <c r="V148" s="12"/>
      <c r="W148" s="12"/>
      <c r="X148" s="12"/>
      <c r="Y148" s="12"/>
      <c r="Z148" s="12"/>
      <c r="AA148" s="12"/>
    </row>
    <row r="149" spans="1:27" ht="13.2" x14ac:dyDescent="0.25">
      <c r="A149" s="34" t="s">
        <v>81</v>
      </c>
      <c r="B149" s="35"/>
      <c r="C149" s="36"/>
      <c r="D149" s="35"/>
      <c r="E149" s="36"/>
      <c r="F149" s="35"/>
      <c r="G149" s="36"/>
      <c r="H149" s="35"/>
      <c r="I149" s="36"/>
      <c r="J149" s="35"/>
      <c r="K149" s="36"/>
      <c r="L149" s="35"/>
      <c r="M149" s="36"/>
      <c r="N149" s="35"/>
      <c r="O149" s="12"/>
      <c r="P149" s="12"/>
      <c r="Q149" s="12"/>
      <c r="R149" s="12"/>
      <c r="S149" s="12"/>
      <c r="T149" s="12"/>
      <c r="U149" s="12"/>
      <c r="V149" s="12"/>
      <c r="W149" s="12"/>
      <c r="X149" s="12"/>
      <c r="Y149" s="12"/>
      <c r="Z149" s="12"/>
      <c r="AA149" s="12"/>
    </row>
    <row r="150" spans="1:27" ht="13.2" x14ac:dyDescent="0.25">
      <c r="A150" s="37">
        <f>A148/8</f>
        <v>39.875</v>
      </c>
      <c r="B150" s="35"/>
      <c r="C150" s="36"/>
      <c r="D150" s="35"/>
      <c r="E150" s="36"/>
      <c r="F150" s="35"/>
      <c r="G150" s="36"/>
      <c r="H150" s="35"/>
      <c r="I150" s="36"/>
      <c r="J150" s="35"/>
      <c r="K150" s="36"/>
      <c r="L150" s="35"/>
      <c r="M150" s="36"/>
      <c r="N150" s="35"/>
      <c r="O150" s="12"/>
      <c r="P150" s="12"/>
      <c r="Q150" s="12"/>
      <c r="R150" s="12"/>
      <c r="S150" s="12"/>
      <c r="T150" s="12"/>
      <c r="U150" s="12"/>
      <c r="V150" s="12"/>
      <c r="W150" s="12"/>
      <c r="X150" s="12"/>
      <c r="Y150" s="12"/>
      <c r="Z150" s="12"/>
      <c r="AA150" s="12"/>
    </row>
  </sheetData>
  <mergeCells count="9">
    <mergeCell ref="A108:A109"/>
    <mergeCell ref="A126:A127"/>
    <mergeCell ref="A144:A145"/>
    <mergeCell ref="B1:N1"/>
    <mergeCell ref="A18:A19"/>
    <mergeCell ref="A36:A37"/>
    <mergeCell ref="A54:A55"/>
    <mergeCell ref="A72:A73"/>
    <mergeCell ref="A90:A91"/>
  </mergeCells>
  <conditionalFormatting sqref="A4">
    <cfRule type="colorScale" priority="1">
      <colorScale>
        <cfvo type="min"/>
        <cfvo type="max"/>
        <color rgb="FFFFFFFF"/>
        <color rgb="FF57BB8A"/>
      </colorScale>
    </cfRule>
  </conditionalFormatting>
  <dataValidations count="1">
    <dataValidation type="list" allowBlank="1" showErrorMessage="1" sqref="B3 D3 F3 H3 J3 L3 N3 B21 D21 F21 H21 J21 L21 N21 J39 L39 N39 B57 D57 F57 H57 J57 L57 N57 B75 D75 F75 H75 J75 L75 N75 B93 D93 F93 H93 J93 L93 N93 B111 D111 F111 H111 J111 L111 N111 B129 D129 F129 H129 J129 L129 N129" xr:uid="{00000000-0002-0000-0000-000000000000}">
      <formula1>"General Food Items,Impulsive,Bulk Buy,Hosting Guest(s),Special Food Items"</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AC22"/>
  <sheetViews>
    <sheetView workbookViewId="0">
      <selection activeCell="B24" sqref="B24"/>
    </sheetView>
  </sheetViews>
  <sheetFormatPr defaultColWidth="12.6640625" defaultRowHeight="15.75" customHeight="1" x14ac:dyDescent="0.25"/>
  <cols>
    <col min="1" max="1" width="15" customWidth="1"/>
    <col min="2" max="2" width="27.44140625" customWidth="1"/>
    <col min="3" max="3" width="9.21875" customWidth="1"/>
    <col min="5" max="5" width="27.109375" customWidth="1"/>
    <col min="6" max="6" width="11.109375" customWidth="1"/>
    <col min="8" max="8" width="25.44140625" customWidth="1"/>
    <col min="9" max="9" width="10.88671875" customWidth="1"/>
    <col min="10" max="10" width="16.33203125" customWidth="1"/>
    <col min="11" max="11" width="25.44140625" customWidth="1"/>
    <col min="12" max="12" width="8.88671875" customWidth="1"/>
    <col min="14" max="14" width="38" customWidth="1"/>
    <col min="15" max="15" width="8.88671875" customWidth="1"/>
    <col min="17" max="17" width="38" customWidth="1"/>
    <col min="18" max="18" width="57.21875" customWidth="1"/>
  </cols>
  <sheetData>
    <row r="1" spans="1:29" ht="15.75" customHeight="1" x14ac:dyDescent="0.3">
      <c r="A1" s="46" t="s">
        <v>0</v>
      </c>
      <c r="B1" s="47"/>
      <c r="C1" s="3"/>
      <c r="D1" s="46" t="s">
        <v>2</v>
      </c>
      <c r="E1" s="47"/>
      <c r="F1" s="3"/>
      <c r="G1" s="46" t="s">
        <v>3</v>
      </c>
      <c r="H1" s="47"/>
      <c r="I1" s="6"/>
      <c r="J1" s="46" t="s">
        <v>10</v>
      </c>
      <c r="K1" s="47"/>
      <c r="M1" s="46" t="s">
        <v>2</v>
      </c>
      <c r="N1" s="47"/>
      <c r="P1" s="46" t="s">
        <v>12</v>
      </c>
      <c r="Q1" s="47"/>
      <c r="R1" s="2"/>
      <c r="S1" s="3"/>
      <c r="T1" s="3"/>
      <c r="U1" s="3"/>
      <c r="V1" s="3"/>
      <c r="W1" s="3"/>
      <c r="X1" s="3"/>
      <c r="Y1" s="3"/>
      <c r="Z1" s="3"/>
      <c r="AA1" s="3"/>
      <c r="AB1" s="3"/>
      <c r="AC1" s="3"/>
    </row>
    <row r="2" spans="1:29" ht="13.2" x14ac:dyDescent="0.25">
      <c r="A2" s="48" t="s">
        <v>13</v>
      </c>
      <c r="B2" s="49"/>
      <c r="C2" s="1"/>
      <c r="D2" s="48" t="s">
        <v>13</v>
      </c>
      <c r="E2" s="49"/>
      <c r="G2" s="48" t="s">
        <v>13</v>
      </c>
      <c r="H2" s="49"/>
      <c r="I2" s="1"/>
      <c r="J2" s="48" t="s">
        <v>13</v>
      </c>
      <c r="K2" s="49"/>
      <c r="M2" s="48" t="s">
        <v>13</v>
      </c>
      <c r="N2" s="49"/>
      <c r="P2" s="48" t="s">
        <v>13</v>
      </c>
      <c r="Q2" s="49"/>
      <c r="R2" s="8" t="s">
        <v>14</v>
      </c>
    </row>
    <row r="3" spans="1:29" ht="15.75" customHeight="1" x14ac:dyDescent="0.25">
      <c r="A3" s="9">
        <v>-1000</v>
      </c>
      <c r="B3" s="11" t="s">
        <v>15</v>
      </c>
      <c r="D3" s="12"/>
      <c r="E3" s="13" t="s">
        <v>16</v>
      </c>
      <c r="G3" s="12"/>
      <c r="H3" s="13" t="s">
        <v>16</v>
      </c>
      <c r="I3" s="13"/>
      <c r="J3" s="12"/>
      <c r="K3" s="13" t="s">
        <v>16</v>
      </c>
      <c r="M3" s="12"/>
      <c r="N3" s="13" t="s">
        <v>16</v>
      </c>
      <c r="P3" s="12"/>
      <c r="Q3" s="13" t="s">
        <v>16</v>
      </c>
      <c r="R3" s="38" t="s">
        <v>18</v>
      </c>
    </row>
    <row r="4" spans="1:29" ht="15.75" customHeight="1" x14ac:dyDescent="0.25">
      <c r="A4" s="12">
        <v>3500</v>
      </c>
      <c r="B4" s="13" t="s">
        <v>19</v>
      </c>
      <c r="D4" s="12"/>
      <c r="E4" s="13" t="s">
        <v>16</v>
      </c>
      <c r="G4" s="12"/>
      <c r="H4" s="13" t="s">
        <v>16</v>
      </c>
      <c r="I4" s="13"/>
      <c r="J4" s="12"/>
      <c r="K4" s="13" t="s">
        <v>16</v>
      </c>
      <c r="M4" s="12"/>
      <c r="N4" s="13" t="s">
        <v>16</v>
      </c>
      <c r="P4" s="12"/>
      <c r="Q4" s="13" t="s">
        <v>16</v>
      </c>
      <c r="R4" s="38" t="s">
        <v>20</v>
      </c>
    </row>
    <row r="5" spans="1:29" ht="15.75" customHeight="1" x14ac:dyDescent="0.25">
      <c r="A5" s="12">
        <v>3500</v>
      </c>
      <c r="B5" s="13" t="s">
        <v>19</v>
      </c>
      <c r="D5" s="12"/>
      <c r="E5" s="13" t="s">
        <v>16</v>
      </c>
      <c r="G5" s="12"/>
      <c r="H5" s="13" t="s">
        <v>21</v>
      </c>
      <c r="I5" s="13"/>
      <c r="J5" s="12"/>
      <c r="K5" s="13" t="s">
        <v>16</v>
      </c>
      <c r="M5" s="12"/>
      <c r="N5" s="13" t="s">
        <v>16</v>
      </c>
      <c r="P5" s="12"/>
      <c r="Q5" s="13" t="s">
        <v>16</v>
      </c>
      <c r="R5" s="38" t="s">
        <v>22</v>
      </c>
    </row>
    <row r="6" spans="1:29" ht="13.2" x14ac:dyDescent="0.25">
      <c r="A6" s="12">
        <v>3500</v>
      </c>
      <c r="B6" s="13" t="s">
        <v>27</v>
      </c>
      <c r="D6" s="12"/>
      <c r="E6" s="13" t="s">
        <v>16</v>
      </c>
      <c r="G6" s="12"/>
      <c r="H6" s="13" t="s">
        <v>29</v>
      </c>
      <c r="I6" s="13"/>
      <c r="J6" s="12"/>
      <c r="K6" s="13" t="s">
        <v>16</v>
      </c>
      <c r="M6" s="12"/>
      <c r="N6" s="13" t="s">
        <v>16</v>
      </c>
      <c r="P6" s="12"/>
      <c r="Q6" s="13" t="s">
        <v>16</v>
      </c>
      <c r="R6" s="14"/>
    </row>
    <row r="7" spans="1:29" ht="13.2" x14ac:dyDescent="0.25">
      <c r="A7" s="12">
        <v>3500</v>
      </c>
      <c r="B7" s="13" t="s">
        <v>27</v>
      </c>
      <c r="D7" s="12"/>
      <c r="E7" s="13" t="s">
        <v>16</v>
      </c>
      <c r="G7" s="12"/>
      <c r="H7" s="13" t="s">
        <v>30</v>
      </c>
      <c r="I7" s="13"/>
      <c r="J7" s="12"/>
      <c r="K7" s="13" t="s">
        <v>16</v>
      </c>
      <c r="M7" s="12"/>
      <c r="N7" s="13" t="s">
        <v>16</v>
      </c>
      <c r="P7" s="12"/>
      <c r="Q7" s="13" t="s">
        <v>16</v>
      </c>
      <c r="R7" s="19"/>
    </row>
    <row r="8" spans="1:29" ht="13.2" x14ac:dyDescent="0.25">
      <c r="A8" s="12">
        <v>3500</v>
      </c>
      <c r="B8" s="13" t="s">
        <v>35</v>
      </c>
      <c r="D8" s="12"/>
      <c r="E8" s="13" t="s">
        <v>16</v>
      </c>
      <c r="G8" s="21">
        <f>SUM(G3:G7)</f>
        <v>0</v>
      </c>
      <c r="H8" s="22"/>
      <c r="I8" s="23"/>
      <c r="J8" s="12"/>
      <c r="K8" s="13" t="s">
        <v>16</v>
      </c>
      <c r="M8" s="12"/>
      <c r="N8" s="13" t="s">
        <v>16</v>
      </c>
      <c r="P8" s="12"/>
      <c r="Q8" s="13" t="s">
        <v>16</v>
      </c>
      <c r="R8" s="19"/>
    </row>
    <row r="9" spans="1:29" ht="13.2" x14ac:dyDescent="0.25">
      <c r="A9" s="12">
        <v>3500</v>
      </c>
      <c r="B9" s="13" t="s">
        <v>44</v>
      </c>
      <c r="D9" s="12"/>
      <c r="E9" s="13" t="s">
        <v>16</v>
      </c>
      <c r="G9" s="12">
        <f>-0.45*(SUM(G3:G4))</f>
        <v>0</v>
      </c>
      <c r="H9" s="13" t="s">
        <v>48</v>
      </c>
      <c r="I9" s="13"/>
      <c r="J9" s="12"/>
      <c r="K9" s="13" t="s">
        <v>16</v>
      </c>
      <c r="M9" s="12"/>
      <c r="N9" s="13" t="s">
        <v>16</v>
      </c>
      <c r="P9" s="12"/>
      <c r="Q9" s="13" t="s">
        <v>16</v>
      </c>
      <c r="R9" s="19"/>
    </row>
    <row r="10" spans="1:29" ht="13.2" x14ac:dyDescent="0.25">
      <c r="A10" s="24">
        <v>2500</v>
      </c>
      <c r="B10" s="25" t="s">
        <v>50</v>
      </c>
      <c r="D10" s="12"/>
      <c r="E10" s="13" t="s">
        <v>52</v>
      </c>
      <c r="G10" s="12">
        <f>-0.03*SUM(G3:G4)</f>
        <v>0</v>
      </c>
      <c r="H10" s="13" t="s">
        <v>54</v>
      </c>
      <c r="I10" s="13"/>
      <c r="J10" s="12"/>
      <c r="K10" s="13" t="s">
        <v>52</v>
      </c>
      <c r="M10" s="12"/>
      <c r="N10" s="13" t="s">
        <v>52</v>
      </c>
      <c r="P10" s="12"/>
      <c r="Q10" s="13" t="s">
        <v>52</v>
      </c>
      <c r="R10" s="19"/>
    </row>
    <row r="11" spans="1:29" ht="13.2" x14ac:dyDescent="0.25">
      <c r="A11" s="24">
        <v>250</v>
      </c>
      <c r="B11" s="25" t="s">
        <v>57</v>
      </c>
      <c r="D11" s="12"/>
      <c r="E11" s="13" t="s">
        <v>21</v>
      </c>
      <c r="F11" s="26"/>
      <c r="G11" s="21">
        <f>G8+G9+G10</f>
        <v>0</v>
      </c>
      <c r="H11" s="22"/>
      <c r="I11" s="23"/>
      <c r="J11" s="12"/>
      <c r="K11" s="13" t="s">
        <v>21</v>
      </c>
      <c r="M11" s="12"/>
      <c r="N11" s="13" t="s">
        <v>21</v>
      </c>
      <c r="P11" s="12"/>
      <c r="Q11" s="13" t="s">
        <v>21</v>
      </c>
      <c r="R11" s="19"/>
    </row>
    <row r="12" spans="1:29" ht="13.2" x14ac:dyDescent="0.25">
      <c r="A12" s="24">
        <v>1500</v>
      </c>
      <c r="B12" s="25" t="s">
        <v>52</v>
      </c>
      <c r="D12" s="12"/>
      <c r="E12" s="13" t="s">
        <v>29</v>
      </c>
      <c r="G12" s="44" t="s">
        <v>61</v>
      </c>
      <c r="H12" s="41"/>
      <c r="J12" s="12"/>
      <c r="K12" s="13" t="s">
        <v>29</v>
      </c>
      <c r="M12" s="12"/>
      <c r="N12" s="13" t="s">
        <v>29</v>
      </c>
      <c r="P12" s="12"/>
      <c r="Q12" s="13" t="s">
        <v>29</v>
      </c>
      <c r="R12" s="19"/>
    </row>
    <row r="13" spans="1:29" ht="13.2" x14ac:dyDescent="0.25">
      <c r="A13" s="12">
        <v>20</v>
      </c>
      <c r="B13" s="13" t="s">
        <v>21</v>
      </c>
      <c r="D13" s="12"/>
      <c r="E13" s="13" t="s">
        <v>30</v>
      </c>
      <c r="J13" s="12"/>
      <c r="K13" s="13" t="s">
        <v>30</v>
      </c>
      <c r="M13" s="12"/>
      <c r="N13" s="13" t="s">
        <v>30</v>
      </c>
      <c r="P13" s="12"/>
      <c r="Q13" s="13" t="s">
        <v>30</v>
      </c>
      <c r="R13" s="19"/>
    </row>
    <row r="14" spans="1:29" ht="13.2" x14ac:dyDescent="0.25">
      <c r="A14" s="12">
        <v>75</v>
      </c>
      <c r="B14" s="13" t="s">
        <v>29</v>
      </c>
      <c r="D14" s="21">
        <f>SUM(D3:D13)</f>
        <v>0</v>
      </c>
      <c r="E14" s="22"/>
      <c r="J14" s="21">
        <f>SUM(J3:J13)</f>
        <v>0</v>
      </c>
      <c r="K14" s="22"/>
      <c r="M14" s="21">
        <f>SUM(M3:M13)</f>
        <v>0</v>
      </c>
      <c r="N14" s="22"/>
      <c r="P14" s="21">
        <f>SUM(P3:P13)</f>
        <v>0</v>
      </c>
      <c r="Q14" s="22"/>
    </row>
    <row r="15" spans="1:29" ht="13.2" x14ac:dyDescent="0.25">
      <c r="A15" s="12">
        <v>80</v>
      </c>
      <c r="B15" s="13" t="s">
        <v>30</v>
      </c>
      <c r="C15" s="1"/>
      <c r="D15" s="12">
        <f>-0.45*(SUM(D3:D8))</f>
        <v>0</v>
      </c>
      <c r="E15" s="13" t="s">
        <v>63</v>
      </c>
      <c r="J15" s="12">
        <f>-0.45*(SUM(J3:J8))</f>
        <v>0</v>
      </c>
      <c r="K15" s="13" t="s">
        <v>64</v>
      </c>
      <c r="M15" s="12">
        <f>-0.45*(SUM(M3:M8))</f>
        <v>0</v>
      </c>
      <c r="N15" s="13" t="s">
        <v>65</v>
      </c>
      <c r="P15" s="12">
        <f>-0.45*(SUM(P3:P8))</f>
        <v>0</v>
      </c>
      <c r="Q15" s="13" t="s">
        <v>66</v>
      </c>
    </row>
    <row r="16" spans="1:29" ht="13.2" x14ac:dyDescent="0.25">
      <c r="A16" s="21">
        <f>SUM(A3:A15)</f>
        <v>24425</v>
      </c>
      <c r="B16" s="22"/>
      <c r="C16" s="1"/>
      <c r="D16" s="12">
        <f>-0.03*SUM(D3:D13)</f>
        <v>0</v>
      </c>
      <c r="E16" s="13" t="s">
        <v>67</v>
      </c>
      <c r="J16" s="12">
        <f>-0.03*SUM(J3:J13)</f>
        <v>0</v>
      </c>
      <c r="K16" s="13" t="s">
        <v>68</v>
      </c>
      <c r="L16" s="12"/>
      <c r="M16" s="12">
        <f>-0.03*SUM(M3:M13)</f>
        <v>0</v>
      </c>
      <c r="N16" s="13" t="s">
        <v>70</v>
      </c>
      <c r="O16" s="12"/>
      <c r="P16" s="12">
        <f>-0.03*SUM(P3:P13)</f>
        <v>0</v>
      </c>
      <c r="Q16" s="13" t="s">
        <v>71</v>
      </c>
      <c r="R16" s="24"/>
    </row>
    <row r="17" spans="1:18" ht="13.2" x14ac:dyDescent="0.25">
      <c r="A17" s="12">
        <f>-0.45*(SUM(A4:A9))</f>
        <v>-9450</v>
      </c>
      <c r="B17" s="13" t="s">
        <v>72</v>
      </c>
      <c r="C17" s="1"/>
      <c r="D17" s="21">
        <f>D14+D15+D16</f>
        <v>0</v>
      </c>
      <c r="E17" s="22"/>
      <c r="J17" s="21">
        <f>J14+J15+J16</f>
        <v>0</v>
      </c>
      <c r="K17" s="22"/>
      <c r="M17" s="21">
        <f>M14+M15+M16</f>
        <v>0</v>
      </c>
      <c r="N17" s="22"/>
      <c r="P17" s="21">
        <f>P14+P15+P16</f>
        <v>0</v>
      </c>
      <c r="Q17" s="22"/>
      <c r="R17" s="24"/>
    </row>
    <row r="18" spans="1:18" ht="13.2" x14ac:dyDescent="0.25">
      <c r="A18" s="12">
        <f>-0.05*SUM(A4:A15)</f>
        <v>-1271.25</v>
      </c>
      <c r="B18" s="13" t="s">
        <v>74</v>
      </c>
      <c r="C18" s="31"/>
      <c r="D18" s="44" t="s">
        <v>61</v>
      </c>
      <c r="E18" s="41"/>
      <c r="G18" s="12"/>
      <c r="J18" s="44" t="s">
        <v>61</v>
      </c>
      <c r="K18" s="41"/>
      <c r="L18" s="32"/>
      <c r="M18" s="44" t="s">
        <v>61</v>
      </c>
      <c r="N18" s="41"/>
      <c r="O18" s="32"/>
      <c r="P18" s="44" t="s">
        <v>61</v>
      </c>
      <c r="Q18" s="41"/>
      <c r="R18" s="24"/>
    </row>
    <row r="19" spans="1:18" ht="13.2" x14ac:dyDescent="0.25">
      <c r="A19" s="21">
        <f>A16+A17+A18</f>
        <v>13703.75</v>
      </c>
      <c r="B19" s="22"/>
      <c r="D19" s="45" t="s">
        <v>75</v>
      </c>
      <c r="E19" s="41"/>
      <c r="J19" s="45" t="s">
        <v>76</v>
      </c>
      <c r="K19" s="41"/>
      <c r="L19" s="32"/>
      <c r="M19" s="45" t="s">
        <v>77</v>
      </c>
      <c r="N19" s="41"/>
      <c r="O19" s="32"/>
      <c r="P19" s="45" t="s">
        <v>78</v>
      </c>
      <c r="Q19" s="41"/>
      <c r="R19" s="24"/>
    </row>
    <row r="20" spans="1:18" ht="13.2" x14ac:dyDescent="0.25">
      <c r="A20" s="44" t="s">
        <v>79</v>
      </c>
      <c r="B20" s="41"/>
      <c r="D20" s="41"/>
      <c r="E20" s="41"/>
      <c r="J20" s="41"/>
      <c r="K20" s="41"/>
      <c r="L20" s="32"/>
      <c r="M20" s="41"/>
      <c r="N20" s="41"/>
      <c r="O20" s="32"/>
      <c r="P20" s="41"/>
      <c r="Q20" s="41"/>
      <c r="R20" s="24"/>
    </row>
    <row r="21" spans="1:18" ht="13.2" x14ac:dyDescent="0.25">
      <c r="D21" s="41"/>
      <c r="E21" s="41"/>
      <c r="J21" s="41"/>
      <c r="K21" s="41"/>
      <c r="M21" s="41"/>
      <c r="N21" s="41"/>
      <c r="P21" s="41"/>
      <c r="Q21" s="41"/>
      <c r="R21" s="24"/>
    </row>
    <row r="22" spans="1:18" ht="13.2" x14ac:dyDescent="0.25">
      <c r="R22" s="24"/>
    </row>
  </sheetData>
  <mergeCells count="22">
    <mergeCell ref="M18:N18"/>
    <mergeCell ref="G1:H1"/>
    <mergeCell ref="G2:H2"/>
    <mergeCell ref="G12:H12"/>
    <mergeCell ref="D18:E18"/>
    <mergeCell ref="J18:K18"/>
    <mergeCell ref="P18:Q18"/>
    <mergeCell ref="M19:N21"/>
    <mergeCell ref="P19:Q21"/>
    <mergeCell ref="A1:B1"/>
    <mergeCell ref="D1:E1"/>
    <mergeCell ref="J1:K1"/>
    <mergeCell ref="P1:Q1"/>
    <mergeCell ref="A2:B2"/>
    <mergeCell ref="D2:E2"/>
    <mergeCell ref="J2:K2"/>
    <mergeCell ref="P2:Q2"/>
    <mergeCell ref="D19:E21"/>
    <mergeCell ref="J19:K21"/>
    <mergeCell ref="A20:B20"/>
    <mergeCell ref="M1:N1"/>
    <mergeCell ref="M2:N2"/>
  </mergeCells>
  <conditionalFormatting sqref="G12:H12 M12:N12 P12:Q12 J13:K13 D18:E18 J18:K18 M18:N18 P18:Q18 A20:B20">
    <cfRule type="cellIs" dxfId="1" priority="1" operator="equal">
      <formula>"UNPAID"</formula>
    </cfRule>
  </conditionalFormatting>
  <conditionalFormatting sqref="M12:N12 P12:Q12">
    <cfRule type="cellIs" dxfId="0" priority="2" operator="equal">
      <formula>"PAID"</formula>
    </cfRule>
  </conditionalFormatting>
  <printOptions horizontalCentered="1" gridLines="1"/>
  <pageMargins left="0.7" right="0.7" top="0.75" bottom="0.75" header="0" footer="0"/>
  <pageSetup pageOrder="overThenDown" orientation="landscape" cellComments="atEnd"/>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Groceries Budget</vt:lpstr>
      <vt:lpstr>Tuition Budget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Lydia Obi</cp:lastModifiedBy>
  <dcterms:modified xsi:type="dcterms:W3CDTF">2026-08-27T19:41:42Z</dcterms:modified>
</cp:coreProperties>
</file>